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volatileDependencies.xml" ContentType="application/vnd.openxmlformats-officedocument.spreadsheetml.volatileDependenc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8820" yWindow="-15" windowWidth="8865" windowHeight="11610" activeTab="8"/>
  </bookViews>
  <sheets>
    <sheet name="EUR OIS" sheetId="11" r:id="rId1"/>
    <sheet name="EUR 3M" sheetId="10" r:id="rId2"/>
    <sheet name="EUR 6M" sheetId="13" r:id="rId3"/>
    <sheet name="EUR STIR" sheetId="19" r:id="rId4"/>
    <sheet name="USD OIS" sheetId="14" r:id="rId5"/>
    <sheet name="USD 3M" sheetId="15" r:id="rId6"/>
    <sheet name="USD 6M" sheetId="16" r:id="rId7"/>
    <sheet name="USD STIR" sheetId="20" r:id="rId8"/>
    <sheet name="EUR_STIR_FREEZED" sheetId="21" r:id="rId9"/>
  </sheets>
  <functionGroups/>
  <externalReferences>
    <externalReference r:id="rId10"/>
  </externalReferences>
  <definedNames>
    <definedName name="_xlnm._FilterDatabase" localSheetId="1" hidden="1">'EUR 3M'!$N$29:$N$30</definedName>
    <definedName name="_xlnm._FilterDatabase" localSheetId="2" hidden="1">'EUR 6M'!$N$33:$N$35</definedName>
    <definedName name="_xlnm._FilterDatabase" localSheetId="3" hidden="1">'EUR STIR'!$N$33:$N$35</definedName>
    <definedName name="_xlnm._FilterDatabase" localSheetId="5" hidden="1">'USD 3M'!$N$26:$N$30</definedName>
    <definedName name="_xlnm._FilterDatabase" localSheetId="6" hidden="1">'USD 6M'!$N$33:$N$35</definedName>
    <definedName name="_xlnm._FilterDatabase" localSheetId="7" hidden="1">'USD STIR'!$N$33:$N$35</definedName>
    <definedName name="Contributori" localSheetId="2">OFFSET('EUR 6M'!$AC$3,0,0,COUNTA('EUR 6M'!$AC$3:$AC$107),1)</definedName>
    <definedName name="Contributori" localSheetId="3">OFFSET('EUR STIR'!$AB$3,0,0,COUNTA('EUR STIR'!$AB$3:$AB$107),1)</definedName>
    <definedName name="Contributori" localSheetId="5">OFFSET('USD 3M'!$AC$3,0,0,COUNTA('USD 3M'!$AC$3:$AC$101),1)</definedName>
    <definedName name="Contributori" localSheetId="6">OFFSET('USD 6M'!$AC$3,0,0,COUNTA('USD 6M'!$AC$3:$AC$107),1)</definedName>
    <definedName name="Contributori" localSheetId="7">OFFSET('USD STIR'!$AB$3,0,0,COUNTA('USD STIR'!$AB$3:$AB$107),1)</definedName>
    <definedName name="Contributori">OFFSET('EUR 3M'!$AC$3,0,0,COUNTA('EUR 3M'!$AC$3:$AC$101),1)</definedName>
    <definedName name="Contributori_EONIA" localSheetId="4">'USD OIS'!$AC$3:$AC$7</definedName>
    <definedName name="Contributori_EONIA">'EUR OIS'!$AC$3:$AC$8</definedName>
    <definedName name="couponfrequency" localSheetId="1">'EUR 3M'!#REF!</definedName>
    <definedName name="couponfrequency" localSheetId="2">'EUR 6M'!#REF!</definedName>
    <definedName name="couponfrequency" localSheetId="0">'EUR OIS'!#REF!</definedName>
    <definedName name="couponfrequency" localSheetId="3">'EUR STIR'!#REF!</definedName>
    <definedName name="couponfrequency" localSheetId="5">'USD 3M'!#REF!</definedName>
    <definedName name="couponfrequency" localSheetId="6">'USD 6M'!#REF!</definedName>
    <definedName name="couponfrequency" localSheetId="4">'USD OIS'!#REF!</definedName>
    <definedName name="couponfrequency" localSheetId="7">'USD STIR'!#REF!</definedName>
    <definedName name="couponfrequency">#REF!</definedName>
    <definedName name="EUR_STIR">'EUR STIR'!$B$12:$T$58</definedName>
    <definedName name="EUR_STIR_FREEZED">EUR_STIR_FREEZED!$B$3</definedName>
    <definedName name="futures_code" localSheetId="1">'EUR 3M'!$H$6</definedName>
    <definedName name="futures_code" localSheetId="2">'EUR 6M'!$H$6</definedName>
    <definedName name="futures_code" localSheetId="0">'EUR OIS'!$H$6</definedName>
    <definedName name="futures_code" localSheetId="3">'EUR STIR'!$G$6</definedName>
    <definedName name="futures_code" localSheetId="5">'USD 3M'!$H$6</definedName>
    <definedName name="futures_code" localSheetId="6">'USD 6M'!$H$6</definedName>
    <definedName name="futures_code" localSheetId="4">'USD OIS'!$H$6</definedName>
    <definedName name="futures_code" localSheetId="7">'USD STIR'!$G$6</definedName>
    <definedName name="futures_code">#REF!</definedName>
    <definedName name="today" localSheetId="1">'EUR 3M'!$H$3</definedName>
    <definedName name="today" localSheetId="2">'EUR 6M'!$H$3</definedName>
    <definedName name="today" localSheetId="0">'EUR OIS'!$H$3</definedName>
    <definedName name="today" localSheetId="3">'EUR STIR'!$G$3</definedName>
    <definedName name="today" localSheetId="5">'USD 3M'!$H$3</definedName>
    <definedName name="today" localSheetId="6">'USD 6M'!$H$3</definedName>
    <definedName name="today" localSheetId="4">'USD OIS'!$H$3</definedName>
    <definedName name="today" localSheetId="7">'USD STIR'!$G$3</definedName>
    <definedName name="today">#REF!</definedName>
    <definedName name="tplusdate" localSheetId="1">'EUR 3M'!$H$4</definedName>
    <definedName name="tplusdate" localSheetId="2">'EUR 6M'!$H$4</definedName>
    <definedName name="tplusdate" localSheetId="0">'EUR OIS'!$H$4</definedName>
    <definedName name="tplusdate" localSheetId="3">'EUR STIR'!$G$4</definedName>
    <definedName name="tplusdate" localSheetId="5">'USD 3M'!$H$4</definedName>
    <definedName name="tplusdate" localSheetId="6">'USD 6M'!$H$4</definedName>
    <definedName name="tplusdate" localSheetId="4">'USD OIS'!$H$4</definedName>
    <definedName name="tplusdate" localSheetId="7">'USD STIR'!$G$4</definedName>
    <definedName name="tplusdate">#REF!</definedName>
  </definedNames>
  <calcPr calcId="125725"/>
</workbook>
</file>

<file path=xl/calcChain.xml><?xml version="1.0" encoding="utf-8"?>
<calcChain xmlns="http://schemas.openxmlformats.org/spreadsheetml/2006/main">
  <c r="G54" i="19"/>
  <c r="G48"/>
  <c r="G42"/>
  <c r="G36"/>
  <c r="G30"/>
  <c r="G24"/>
  <c r="G18"/>
  <c r="G12"/>
  <c r="G4" i="15"/>
  <c r="A6"/>
  <c r="G4" i="10"/>
  <c r="A6"/>
  <c r="E6" i="11"/>
  <c r="H6" i="10"/>
  <c r="C26" s="1"/>
  <c r="C25"/>
  <c r="C24"/>
  <c r="C5" i="20"/>
  <c r="A3"/>
  <c r="C5" i="19"/>
  <c r="A3"/>
  <c r="H6" i="15"/>
  <c r="C28"/>
  <c r="C27"/>
  <c r="C26"/>
  <c r="C25"/>
  <c r="C24"/>
  <c r="C23"/>
  <c r="C21"/>
  <c r="C22"/>
  <c r="I3" i="20"/>
  <c r="C4"/>
  <c r="I3" i="19"/>
  <c r="H6" i="16"/>
  <c r="H5"/>
  <c r="A5" i="14"/>
  <c r="H47" i="16"/>
  <c r="G4"/>
  <c r="H46"/>
  <c r="H45"/>
  <c r="H44"/>
  <c r="H43"/>
  <c r="H42"/>
  <c r="H41"/>
  <c r="H40"/>
  <c r="H39"/>
  <c r="H38"/>
  <c r="H37"/>
  <c r="H36"/>
  <c r="H35"/>
  <c r="H34"/>
  <c r="H43" i="15"/>
  <c r="H42"/>
  <c r="H41"/>
  <c r="H40"/>
  <c r="H39"/>
  <c r="H38"/>
  <c r="H37"/>
  <c r="H36"/>
  <c r="H35"/>
  <c r="H34"/>
  <c r="H33"/>
  <c r="H32"/>
  <c r="H31"/>
  <c r="H30"/>
  <c r="H20"/>
  <c r="H19"/>
  <c r="H18"/>
  <c r="H17"/>
  <c r="H16"/>
  <c r="H15"/>
  <c r="H14"/>
  <c r="H13"/>
  <c r="H12"/>
  <c r="H40" i="14"/>
  <c r="G4"/>
  <c r="H5"/>
  <c r="C36" s="1"/>
  <c r="C40"/>
  <c r="H39"/>
  <c r="H38"/>
  <c r="C38"/>
  <c r="H37"/>
  <c r="C37"/>
  <c r="H36"/>
  <c r="H35"/>
  <c r="H34"/>
  <c r="C34"/>
  <c r="H33"/>
  <c r="H32"/>
  <c r="C32"/>
  <c r="H31"/>
  <c r="H30"/>
  <c r="C30"/>
  <c r="H29"/>
  <c r="C29"/>
  <c r="H28"/>
  <c r="H27"/>
  <c r="H26"/>
  <c r="H25"/>
  <c r="H24"/>
  <c r="C24"/>
  <c r="H23"/>
  <c r="H22"/>
  <c r="C22"/>
  <c r="H21"/>
  <c r="C21"/>
  <c r="H20"/>
  <c r="H19"/>
  <c r="H18"/>
  <c r="C18"/>
  <c r="H17"/>
  <c r="C17"/>
  <c r="H16"/>
  <c r="C16"/>
  <c r="H15"/>
  <c r="H14"/>
  <c r="C14"/>
  <c r="H13"/>
  <c r="C13"/>
  <c r="H12"/>
  <c r="A6" i="16"/>
  <c r="H12"/>
  <c r="H13"/>
  <c r="H14"/>
  <c r="H15"/>
  <c r="H16"/>
  <c r="H17"/>
  <c r="H21"/>
  <c r="H22"/>
  <c r="H23"/>
  <c r="H5" i="15"/>
  <c r="H44"/>
  <c r="H45"/>
  <c r="H46"/>
  <c r="H6" i="14"/>
  <c r="H5" i="11"/>
  <c r="H5" i="13"/>
  <c r="H5" i="10"/>
  <c r="G4" i="13"/>
  <c r="A6"/>
  <c r="H22"/>
  <c r="H23"/>
  <c r="H21"/>
  <c r="H6"/>
  <c r="H12"/>
  <c r="H13"/>
  <c r="H14"/>
  <c r="H15"/>
  <c r="H16"/>
  <c r="H17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6" i="11"/>
  <c r="C22"/>
  <c r="C13"/>
  <c r="C36"/>
  <c r="C27"/>
  <c r="H19" i="10"/>
  <c r="H20"/>
  <c r="H18"/>
  <c r="H46"/>
  <c r="H45"/>
  <c r="H44"/>
  <c r="H43"/>
  <c r="H42"/>
  <c r="H41"/>
  <c r="H40"/>
  <c r="H39"/>
  <c r="H38"/>
  <c r="H37"/>
  <c r="H36"/>
  <c r="H35"/>
  <c r="H34"/>
  <c r="H33"/>
  <c r="H32"/>
  <c r="H31"/>
  <c r="H30"/>
  <c r="G4" i="11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A5"/>
  <c r="H13" i="10"/>
  <c r="H12"/>
  <c r="H14"/>
  <c r="H15"/>
  <c r="H16"/>
  <c r="H17"/>
  <c r="D6" i="11"/>
  <c r="C4" i="19"/>
  <c r="J6" i="10"/>
  <c r="E30" i="15"/>
  <c r="O35" i="16"/>
  <c r="E34" i="15"/>
  <c r="O39" i="16"/>
  <c r="E38" i="15"/>
  <c r="O43" i="16"/>
  <c r="E42" i="15"/>
  <c r="O47" i="16"/>
  <c r="H3"/>
  <c r="K27" i="15"/>
  <c r="J24"/>
  <c r="E20"/>
  <c r="E16"/>
  <c r="E12"/>
  <c r="E14" i="16"/>
  <c r="E18"/>
  <c r="K19"/>
  <c r="E21"/>
  <c r="F22"/>
  <c r="K24"/>
  <c r="D26"/>
  <c r="F27"/>
  <c r="K28"/>
  <c r="D30"/>
  <c r="F31"/>
  <c r="K32"/>
  <c r="E33" i="13"/>
  <c r="K23"/>
  <c r="K27"/>
  <c r="K31"/>
  <c r="F24"/>
  <c r="E27"/>
  <c r="D30"/>
  <c r="F32"/>
  <c r="E18"/>
  <c r="R4"/>
  <c r="D13"/>
  <c r="D17"/>
  <c r="F21"/>
  <c r="K33"/>
  <c r="D38"/>
  <c r="E41"/>
  <c r="D46"/>
  <c r="E49"/>
  <c r="H3" i="11"/>
  <c r="K25" i="10"/>
  <c r="R4"/>
  <c r="K47" i="15"/>
  <c r="H3" i="10"/>
  <c r="D21"/>
  <c r="E26"/>
  <c r="H3" i="15"/>
  <c r="E28" i="10"/>
  <c r="D25"/>
  <c r="E21"/>
  <c r="D27" i="15"/>
  <c r="E23"/>
  <c r="C33" i="19"/>
  <c r="C20"/>
  <c r="D37" i="15"/>
  <c r="O42" i="16"/>
  <c r="D40" i="15"/>
  <c r="O45" i="16"/>
  <c r="D43" i="15"/>
  <c r="K40" i="16"/>
  <c r="J28" i="15"/>
  <c r="J25"/>
  <c r="J22"/>
  <c r="F20"/>
  <c r="D17"/>
  <c r="K14"/>
  <c r="J6" i="14"/>
  <c r="J35"/>
  <c r="J32"/>
  <c r="E31"/>
  <c r="J29"/>
  <c r="D28"/>
  <c r="D25"/>
  <c r="J19"/>
  <c r="J16"/>
  <c r="E15"/>
  <c r="J13"/>
  <c r="D12"/>
  <c r="E15" i="16"/>
  <c r="K16"/>
  <c r="D18"/>
  <c r="D20"/>
  <c r="K22"/>
  <c r="F25"/>
  <c r="F28"/>
  <c r="J31"/>
  <c r="R4" i="15"/>
  <c r="R4" i="14"/>
  <c r="H3" i="13"/>
  <c r="E34"/>
  <c r="K25"/>
  <c r="J30"/>
  <c r="D24"/>
  <c r="D27"/>
  <c r="E30"/>
  <c r="K18"/>
  <c r="E19"/>
  <c r="K13"/>
  <c r="K16"/>
  <c r="D22"/>
  <c r="E35"/>
  <c r="D37"/>
  <c r="K38"/>
  <c r="E42"/>
  <c r="D44"/>
  <c r="K45"/>
  <c r="E51"/>
  <c r="K19" i="10"/>
  <c r="K21"/>
  <c r="D17"/>
  <c r="K44"/>
  <c r="K40"/>
  <c r="K36"/>
  <c r="K32"/>
  <c r="D14" i="11"/>
  <c r="D17"/>
  <c r="E20"/>
  <c r="E23"/>
  <c r="E26"/>
  <c r="D34" i="10"/>
  <c r="D37"/>
  <c r="E40"/>
  <c r="E43"/>
  <c r="D46"/>
  <c r="E15"/>
  <c r="K24"/>
  <c r="D27" i="16"/>
  <c r="K30" i="13"/>
  <c r="E37"/>
  <c r="J37" i="11"/>
  <c r="E34" i="10"/>
  <c r="K14"/>
  <c r="E25"/>
  <c r="D22"/>
  <c r="D23" i="15"/>
  <c r="E24"/>
  <c r="C32" i="19"/>
  <c r="Q4"/>
  <c r="E32" i="15"/>
  <c r="E35"/>
  <c r="K45" i="16"/>
  <c r="K20" i="15"/>
  <c r="D19"/>
  <c r="E13"/>
  <c r="H3" i="14"/>
  <c r="E40"/>
  <c r="E37"/>
  <c r="D34"/>
  <c r="D31"/>
  <c r="E24"/>
  <c r="E21"/>
  <c r="D18"/>
  <c r="D15"/>
  <c r="E12" i="16"/>
  <c r="D15"/>
  <c r="F21"/>
  <c r="K23"/>
  <c r="E25"/>
  <c r="K26"/>
  <c r="E28"/>
  <c r="K29"/>
  <c r="E31"/>
  <c r="D55"/>
  <c r="E45" i="15"/>
  <c r="D49"/>
  <c r="D34" i="13"/>
  <c r="D49" i="10"/>
  <c r="J25" i="13"/>
  <c r="K29"/>
  <c r="K21"/>
  <c r="F26"/>
  <c r="F29"/>
  <c r="D19"/>
  <c r="E12"/>
  <c r="E15"/>
  <c r="E21"/>
  <c r="D35"/>
  <c r="E40"/>
  <c r="D42"/>
  <c r="D49"/>
  <c r="D51"/>
  <c r="J21" i="10"/>
  <c r="F18"/>
  <c r="J6" i="11"/>
  <c r="J42"/>
  <c r="J38"/>
  <c r="J34"/>
  <c r="J30"/>
  <c r="J26"/>
  <c r="J22"/>
  <c r="J18"/>
  <c r="J14"/>
  <c r="E30" i="10"/>
  <c r="D33"/>
  <c r="D15"/>
  <c r="D12"/>
  <c r="J24"/>
  <c r="K16"/>
  <c r="K18"/>
  <c r="K45"/>
  <c r="K37"/>
  <c r="D38" i="11"/>
  <c r="D44"/>
  <c r="E33" i="10"/>
  <c r="D39"/>
  <c r="E45"/>
  <c r="E12"/>
  <c r="D42"/>
  <c r="E17"/>
  <c r="J5" i="11"/>
  <c r="K35" i="16"/>
  <c r="J18" i="15"/>
  <c r="K13" i="16"/>
  <c r="J28"/>
  <c r="J6" i="13"/>
  <c r="F27"/>
  <c r="E44"/>
  <c r="J33" i="11"/>
  <c r="J13"/>
  <c r="D36"/>
  <c r="E37" i="10"/>
  <c r="K13"/>
  <c r="E29" i="15"/>
  <c r="D47"/>
  <c r="K47" i="10"/>
  <c r="E22"/>
  <c r="D28" i="15"/>
  <c r="E25"/>
  <c r="C56" i="19"/>
  <c r="O34" i="16"/>
  <c r="D32" i="15"/>
  <c r="O37" i="16"/>
  <c r="D35" i="15"/>
  <c r="O40" i="16"/>
  <c r="D38" i="15"/>
  <c r="E41"/>
  <c r="K41" i="16"/>
  <c r="K29" i="15"/>
  <c r="K26"/>
  <c r="K23"/>
  <c r="J20"/>
  <c r="E19"/>
  <c r="K17"/>
  <c r="D16"/>
  <c r="D13"/>
  <c r="J40" i="14"/>
  <c r="D40"/>
  <c r="D37"/>
  <c r="J31"/>
  <c r="J28"/>
  <c r="E27"/>
  <c r="J25"/>
  <c r="D24"/>
  <c r="D21"/>
  <c r="J15"/>
  <c r="J12"/>
  <c r="D12" i="16"/>
  <c r="K14"/>
  <c r="E16"/>
  <c r="D21"/>
  <c r="J23"/>
  <c r="D25"/>
  <c r="J26"/>
  <c r="D28"/>
  <c r="J29"/>
  <c r="D31"/>
  <c r="J32"/>
  <c r="D45" i="15"/>
  <c r="K46"/>
  <c r="K24" i="13"/>
  <c r="J29"/>
  <c r="J21"/>
  <c r="E26"/>
  <c r="E29"/>
  <c r="E32"/>
  <c r="D12"/>
  <c r="D15"/>
  <c r="D21"/>
  <c r="D40"/>
  <c r="K41"/>
  <c r="E47"/>
  <c r="K48"/>
  <c r="K50"/>
  <c r="F19" i="10"/>
  <c r="K41"/>
  <c r="K33"/>
  <c r="E12" i="11"/>
  <c r="E16"/>
  <c r="D35"/>
  <c r="D41"/>
  <c r="D30" i="10"/>
  <c r="D36"/>
  <c r="E42"/>
  <c r="J25"/>
  <c r="D45"/>
  <c r="K26"/>
  <c r="K22"/>
  <c r="J6" i="16"/>
  <c r="K25" i="15"/>
  <c r="J25" i="16"/>
  <c r="J5" i="14"/>
  <c r="J26" i="13"/>
  <c r="E46"/>
  <c r="J41" i="11"/>
  <c r="E14"/>
  <c r="D33"/>
  <c r="D40" i="10"/>
  <c r="J23"/>
  <c r="D29" i="15"/>
  <c r="D24"/>
  <c r="E26"/>
  <c r="I6" i="20"/>
  <c r="C27" i="19"/>
  <c r="D41" i="15"/>
  <c r="O46" i="16"/>
  <c r="K42"/>
  <c r="K37"/>
  <c r="K42" i="15"/>
  <c r="K38"/>
  <c r="K34"/>
  <c r="K30"/>
  <c r="J26"/>
  <c r="J23"/>
  <c r="F19"/>
  <c r="D18"/>
  <c r="K16"/>
  <c r="E36" i="14"/>
  <c r="J34"/>
  <c r="E33"/>
  <c r="D30"/>
  <c r="D27"/>
  <c r="E20"/>
  <c r="J18"/>
  <c r="E17"/>
  <c r="D14"/>
  <c r="E13" i="16"/>
  <c r="D16"/>
  <c r="E19"/>
  <c r="E22"/>
  <c r="F26"/>
  <c r="F29"/>
  <c r="F32"/>
  <c r="K44" i="15"/>
  <c r="K34" i="13"/>
  <c r="D33"/>
  <c r="J24"/>
  <c r="K28"/>
  <c r="D26"/>
  <c r="D29"/>
  <c r="D32"/>
  <c r="D18"/>
  <c r="K14"/>
  <c r="K17"/>
  <c r="F23"/>
  <c r="E36"/>
  <c r="E38"/>
  <c r="K39"/>
  <c r="E45"/>
  <c r="D47"/>
  <c r="E52"/>
  <c r="J18" i="10"/>
  <c r="E19"/>
  <c r="K29"/>
  <c r="J43" i="11"/>
  <c r="J39"/>
  <c r="J35"/>
  <c r="J31"/>
  <c r="J27"/>
  <c r="J23"/>
  <c r="J19"/>
  <c r="J15"/>
  <c r="E18"/>
  <c r="D16"/>
  <c r="E19"/>
  <c r="E22"/>
  <c r="E25"/>
  <c r="E28"/>
  <c r="E31"/>
  <c r="E34"/>
  <c r="E14" i="10"/>
  <c r="D47"/>
  <c r="E40" i="15"/>
  <c r="K32"/>
  <c r="E17"/>
  <c r="D38" i="14"/>
  <c r="J26"/>
  <c r="E30" i="16"/>
  <c r="J22" i="13"/>
  <c r="H4" i="11"/>
  <c r="J17"/>
  <c r="D27"/>
  <c r="D13"/>
  <c r="D27" i="10"/>
  <c r="D23"/>
  <c r="E27" i="15"/>
  <c r="Q4" i="20"/>
  <c r="C39" i="19"/>
  <c r="C26"/>
  <c r="D30" i="15"/>
  <c r="E33"/>
  <c r="E36"/>
  <c r="E39"/>
  <c r="K47" i="16"/>
  <c r="K38"/>
  <c r="K33"/>
  <c r="K19" i="15"/>
  <c r="E18"/>
  <c r="E15"/>
  <c r="K13"/>
  <c r="D12"/>
  <c r="E39" i="14"/>
  <c r="J37"/>
  <c r="D36"/>
  <c r="D33"/>
  <c r="J27"/>
  <c r="J24"/>
  <c r="E23"/>
  <c r="J21"/>
  <c r="D20"/>
  <c r="D17"/>
  <c r="D13" i="16"/>
  <c r="K15"/>
  <c r="D19"/>
  <c r="K20"/>
  <c r="D22"/>
  <c r="F23"/>
  <c r="J24"/>
  <c r="E26"/>
  <c r="K27"/>
  <c r="E29"/>
  <c r="K30"/>
  <c r="E32"/>
  <c r="E46" i="15"/>
  <c r="H4" i="13"/>
  <c r="D55"/>
  <c r="J23"/>
  <c r="J28"/>
  <c r="K32"/>
  <c r="F25"/>
  <c r="F28"/>
  <c r="F31"/>
  <c r="K20"/>
  <c r="E13"/>
  <c r="E16"/>
  <c r="E23"/>
  <c r="D36"/>
  <c r="K37"/>
  <c r="E43"/>
  <c r="D45"/>
  <c r="K46"/>
  <c r="E50"/>
  <c r="D52"/>
  <c r="F20" i="10"/>
  <c r="K46"/>
  <c r="K42"/>
  <c r="K38"/>
  <c r="K34"/>
  <c r="K30"/>
  <c r="E15" i="11"/>
  <c r="D19"/>
  <c r="D22"/>
  <c r="D25"/>
  <c r="D28"/>
  <c r="D31"/>
  <c r="D34"/>
  <c r="D37"/>
  <c r="E40"/>
  <c r="E43"/>
  <c r="E29" i="10"/>
  <c r="D32"/>
  <c r="E35"/>
  <c r="E38"/>
  <c r="D41"/>
  <c r="D14"/>
  <c r="J26"/>
  <c r="K15"/>
  <c r="D28"/>
  <c r="K40" i="15"/>
  <c r="D20"/>
  <c r="E25" i="14"/>
  <c r="D24" i="16"/>
  <c r="E24" i="13"/>
  <c r="E17"/>
  <c r="D29" i="10"/>
  <c r="J21" i="11"/>
  <c r="D30"/>
  <c r="E31" i="10"/>
  <c r="E16"/>
  <c r="J5" i="15"/>
  <c r="E27" i="10"/>
  <c r="D24"/>
  <c r="E28" i="15"/>
  <c r="C51" i="19"/>
  <c r="C38"/>
  <c r="D33" i="15"/>
  <c r="O38" i="16"/>
  <c r="D36" i="15"/>
  <c r="O41" i="16"/>
  <c r="D39" i="15"/>
  <c r="O44" i="16"/>
  <c r="D42" i="15"/>
  <c r="K34" i="16"/>
  <c r="K43" i="15"/>
  <c r="K39"/>
  <c r="K35"/>
  <c r="K31"/>
  <c r="J27"/>
  <c r="K24"/>
  <c r="K21"/>
  <c r="J19"/>
  <c r="F18"/>
  <c r="D15"/>
  <c r="D39" i="14"/>
  <c r="E32"/>
  <c r="E29"/>
  <c r="D26"/>
  <c r="D23"/>
  <c r="E16"/>
  <c r="E13"/>
  <c r="J5" i="16"/>
  <c r="E17"/>
  <c r="K18"/>
  <c r="E23"/>
  <c r="F24"/>
  <c r="J27"/>
  <c r="D29"/>
  <c r="J30"/>
  <c r="D32"/>
  <c r="E44" i="15"/>
  <c r="D46"/>
  <c r="J5" i="13"/>
  <c r="K27" i="10"/>
  <c r="J27" i="13"/>
  <c r="J32"/>
  <c r="E25"/>
  <c r="E28"/>
  <c r="E31"/>
  <c r="E20"/>
  <c r="D16"/>
  <c r="D23"/>
  <c r="K35"/>
  <c r="D41"/>
  <c r="D43"/>
  <c r="K44"/>
  <c r="E48"/>
  <c r="D50"/>
  <c r="K51"/>
  <c r="K20" i="10"/>
  <c r="E20"/>
  <c r="J44" i="11"/>
  <c r="J40"/>
  <c r="J36"/>
  <c r="J32"/>
  <c r="J28"/>
  <c r="J24"/>
  <c r="J20"/>
  <c r="J16"/>
  <c r="J12"/>
  <c r="E32" i="10"/>
  <c r="D35"/>
  <c r="D38"/>
  <c r="E41"/>
  <c r="E44"/>
  <c r="K28"/>
  <c r="J22"/>
  <c r="R4" i="11"/>
  <c r="J5" i="10"/>
  <c r="D21" i="15"/>
  <c r="E37"/>
  <c r="K44" i="16"/>
  <c r="K36" i="15"/>
  <c r="K22"/>
  <c r="D14"/>
  <c r="D22" i="14"/>
  <c r="E12"/>
  <c r="J21" i="16"/>
  <c r="F30" i="13"/>
  <c r="E22"/>
  <c r="K47"/>
  <c r="D18" i="10"/>
  <c r="J25" i="11"/>
  <c r="E17"/>
  <c r="D42"/>
  <c r="E46" i="10"/>
  <c r="O33" i="16"/>
  <c r="E47" i="10"/>
  <c r="E24"/>
  <c r="D26" i="15"/>
  <c r="C50" i="19"/>
  <c r="E31" i="15"/>
  <c r="J21"/>
  <c r="K18"/>
  <c r="E14"/>
  <c r="J36" i="14"/>
  <c r="E35"/>
  <c r="D32"/>
  <c r="D29"/>
  <c r="J20"/>
  <c r="E19"/>
  <c r="D16"/>
  <c r="D13"/>
  <c r="R4" i="16"/>
  <c r="D14"/>
  <c r="D17"/>
  <c r="K21"/>
  <c r="D23"/>
  <c r="E24"/>
  <c r="K25"/>
  <c r="E27"/>
  <c r="F30"/>
  <c r="D44" i="15"/>
  <c r="J27" i="10"/>
  <c r="K22" i="13"/>
  <c r="K26"/>
  <c r="J31"/>
  <c r="D25"/>
  <c r="D28"/>
  <c r="D31"/>
  <c r="K19"/>
  <c r="D20"/>
  <c r="E14"/>
  <c r="F22"/>
  <c r="E39"/>
  <c r="K42"/>
  <c r="D48"/>
  <c r="J20" i="10"/>
  <c r="D20"/>
  <c r="E13"/>
  <c r="D16"/>
  <c r="J28"/>
  <c r="K23"/>
  <c r="J6" i="15"/>
  <c r="C21" i="19"/>
  <c r="D31" i="15"/>
  <c r="O36" i="16"/>
  <c r="D34" i="15"/>
  <c r="E43"/>
  <c r="K28"/>
  <c r="D35" i="14"/>
  <c r="E28"/>
  <c r="D19"/>
  <c r="E20" i="16"/>
  <c r="K31"/>
  <c r="D14" i="13"/>
  <c r="D39"/>
  <c r="J29" i="11"/>
  <c r="D39"/>
  <c r="D43" i="10"/>
  <c r="H4" i="16"/>
  <c r="K39"/>
  <c r="K41" i="15"/>
  <c r="K33"/>
  <c r="J23" i="14"/>
  <c r="K45" i="15"/>
  <c r="K49" i="13"/>
  <c r="K35" i="10"/>
  <c r="K12" i="13"/>
  <c r="K17" i="16"/>
  <c r="H4" i="14"/>
  <c r="J30"/>
  <c r="J14"/>
  <c r="K15" i="13"/>
  <c r="K40"/>
  <c r="K43" i="10"/>
  <c r="D15" i="11"/>
  <c r="K52" i="13"/>
  <c r="K46" i="16"/>
  <c r="K43" i="13"/>
  <c r="K12" i="16"/>
  <c r="K39" i="10"/>
  <c r="J17" i="14"/>
  <c r="J19" i="10"/>
  <c r="H4"/>
  <c r="K43" i="16"/>
  <c r="K37" i="15"/>
  <c r="K12"/>
  <c r="K17" i="10"/>
  <c r="K31"/>
  <c r="J22" i="14"/>
  <c r="K36" i="16"/>
  <c r="J22"/>
  <c r="K15" i="15"/>
  <c r="H4"/>
  <c r="I6" i="19"/>
  <c r="J38" i="14"/>
  <c r="J33"/>
  <c r="K36" i="13"/>
  <c r="J39" i="14"/>
  <c r="K12" i="10"/>
  <c r="J47" i="15" l="1"/>
  <c r="J29"/>
  <c r="J17"/>
  <c r="J14"/>
  <c r="J13"/>
  <c r="J16"/>
  <c r="J15"/>
  <c r="J14" i="10"/>
  <c r="J47"/>
  <c r="J16"/>
  <c r="J13"/>
  <c r="J15"/>
  <c r="J29"/>
  <c r="J17"/>
  <c r="F15" i="11"/>
  <c r="J33" i="16"/>
  <c r="J13"/>
  <c r="J19"/>
  <c r="J17"/>
  <c r="J16"/>
  <c r="J14"/>
  <c r="J15"/>
  <c r="J20"/>
  <c r="J18"/>
  <c r="F43" i="10"/>
  <c r="F39" i="11"/>
  <c r="F39" i="13"/>
  <c r="F14"/>
  <c r="F19" i="14"/>
  <c r="F35"/>
  <c r="F34" i="15"/>
  <c r="F31"/>
  <c r="F35" i="16" s="1"/>
  <c r="J3" i="15"/>
  <c r="F16" i="10"/>
  <c r="F48" i="13"/>
  <c r="F20"/>
  <c r="F44" i="15"/>
  <c r="F17" i="16"/>
  <c r="F14"/>
  <c r="F13" i="14"/>
  <c r="F16"/>
  <c r="F29"/>
  <c r="F32"/>
  <c r="C49" i="19"/>
  <c r="N48" s="1"/>
  <c r="F26" i="15"/>
  <c r="F42" i="11"/>
  <c r="F22" i="14"/>
  <c r="F14" i="15"/>
  <c r="F21"/>
  <c r="C42" i="10"/>
  <c r="C32"/>
  <c r="C13"/>
  <c r="C47"/>
  <c r="C40"/>
  <c r="C36"/>
  <c r="C39"/>
  <c r="C35"/>
  <c r="C12"/>
  <c r="C38"/>
  <c r="C34"/>
  <c r="C18"/>
  <c r="C37"/>
  <c r="C46"/>
  <c r="C33"/>
  <c r="C19"/>
  <c r="C45"/>
  <c r="C31"/>
  <c r="C20"/>
  <c r="C44"/>
  <c r="C30"/>
  <c r="C41"/>
  <c r="C29"/>
  <c r="C43"/>
  <c r="F38"/>
  <c r="F35"/>
  <c r="F50" i="13"/>
  <c r="F43"/>
  <c r="F41"/>
  <c r="F16"/>
  <c r="C47"/>
  <c r="C44"/>
  <c r="C36"/>
  <c r="C28"/>
  <c r="C13"/>
  <c r="C52"/>
  <c r="C38"/>
  <c r="C29"/>
  <c r="C12"/>
  <c r="C51"/>
  <c r="C39"/>
  <c r="C30"/>
  <c r="C21"/>
  <c r="C37"/>
  <c r="C50"/>
  <c r="C40"/>
  <c r="C31"/>
  <c r="C22"/>
  <c r="C49"/>
  <c r="C41"/>
  <c r="C32"/>
  <c r="C23"/>
  <c r="C46"/>
  <c r="C27"/>
  <c r="C48"/>
  <c r="C42"/>
  <c r="C33"/>
  <c r="C24"/>
  <c r="C43"/>
  <c r="C34"/>
  <c r="C25"/>
  <c r="C45"/>
  <c r="C35"/>
  <c r="C26"/>
  <c r="F46" i="15"/>
  <c r="C13" i="16"/>
  <c r="C24"/>
  <c r="C27"/>
  <c r="C30"/>
  <c r="C12"/>
  <c r="C21"/>
  <c r="C25"/>
  <c r="C28"/>
  <c r="C31"/>
  <c r="C23"/>
  <c r="C22"/>
  <c r="C26"/>
  <c r="C29"/>
  <c r="C32"/>
  <c r="F23" i="14"/>
  <c r="F26"/>
  <c r="F39"/>
  <c r="F15" i="15"/>
  <c r="F42"/>
  <c r="F46" i="16" s="1"/>
  <c r="F39" i="15"/>
  <c r="F43" i="16" s="1"/>
  <c r="F36" i="15"/>
  <c r="F38" i="16"/>
  <c r="F33" i="15"/>
  <c r="F37" i="16" s="1"/>
  <c r="C37" i="19"/>
  <c r="N36" s="1"/>
  <c r="F24" i="10"/>
  <c r="C33" i="15"/>
  <c r="C37"/>
  <c r="C41"/>
  <c r="C31"/>
  <c r="C34"/>
  <c r="C13"/>
  <c r="C47"/>
  <c r="C40"/>
  <c r="C43"/>
  <c r="C18"/>
  <c r="C45"/>
  <c r="C19"/>
  <c r="C32"/>
  <c r="C35"/>
  <c r="C38"/>
  <c r="C44"/>
  <c r="C20"/>
  <c r="C29"/>
  <c r="C46"/>
  <c r="C30"/>
  <c r="C12"/>
  <c r="C36"/>
  <c r="C39"/>
  <c r="C42"/>
  <c r="F30" i="11"/>
  <c r="F29" i="10"/>
  <c r="F28"/>
  <c r="F14"/>
  <c r="F41"/>
  <c r="F32"/>
  <c r="F37" i="11"/>
  <c r="F34"/>
  <c r="F31"/>
  <c r="F28"/>
  <c r="F25"/>
  <c r="F22"/>
  <c r="F19"/>
  <c r="F52" i="13"/>
  <c r="F45"/>
  <c r="F36"/>
  <c r="J15"/>
  <c r="J18"/>
  <c r="J13"/>
  <c r="J16"/>
  <c r="J33"/>
  <c r="J14"/>
  <c r="J17"/>
  <c r="J20"/>
  <c r="J19"/>
  <c r="F19" i="16"/>
  <c r="F13"/>
  <c r="F17" i="14"/>
  <c r="F20"/>
  <c r="F33"/>
  <c r="F36"/>
  <c r="F12" i="15"/>
  <c r="F30"/>
  <c r="F34" i="16" s="1"/>
  <c r="C25" i="19"/>
  <c r="N24" s="1"/>
  <c r="F23" i="10"/>
  <c r="F27"/>
  <c r="F13" i="11"/>
  <c r="F27"/>
  <c r="F38" i="14"/>
  <c r="F47" i="10"/>
  <c r="F16" i="11"/>
  <c r="F47" i="13"/>
  <c r="F18"/>
  <c r="F33"/>
  <c r="F16" i="16"/>
  <c r="F14" i="14"/>
  <c r="F27"/>
  <c r="F30"/>
  <c r="F41" i="15"/>
  <c r="F45" i="16" s="1"/>
  <c r="F24" i="15"/>
  <c r="F29"/>
  <c r="F33" i="16" s="1"/>
  <c r="F40" i="10"/>
  <c r="F33" i="11"/>
  <c r="J3" i="16"/>
  <c r="F45" i="10"/>
  <c r="F36"/>
  <c r="F30"/>
  <c r="F41" i="11"/>
  <c r="F35"/>
  <c r="F40" i="13"/>
  <c r="F15"/>
  <c r="F12"/>
  <c r="F45" i="15"/>
  <c r="F12" i="16"/>
  <c r="F21" i="14"/>
  <c r="F24"/>
  <c r="F37"/>
  <c r="F40"/>
  <c r="F13" i="15"/>
  <c r="F16"/>
  <c r="F38"/>
  <c r="F42" i="16" s="1"/>
  <c r="F40"/>
  <c r="F35" i="15"/>
  <c r="F39" i="16" s="1"/>
  <c r="F32" i="15"/>
  <c r="F36" i="16" s="1"/>
  <c r="C55" i="19"/>
  <c r="N54" s="1"/>
  <c r="F28" i="15"/>
  <c r="F47"/>
  <c r="F36" i="11"/>
  <c r="J3" i="13"/>
  <c r="F42" i="10"/>
  <c r="F39"/>
  <c r="F44" i="11"/>
  <c r="F38"/>
  <c r="F12" i="10"/>
  <c r="F15"/>
  <c r="F33"/>
  <c r="J3" i="11"/>
  <c r="F51" i="13"/>
  <c r="F49"/>
  <c r="F42"/>
  <c r="F35"/>
  <c r="F19"/>
  <c r="F34"/>
  <c r="F15" i="16"/>
  <c r="F15" i="14"/>
  <c r="F18"/>
  <c r="F31"/>
  <c r="F34"/>
  <c r="C31" i="19"/>
  <c r="N30" s="1"/>
  <c r="F23" i="15"/>
  <c r="F22" i="10"/>
  <c r="F46"/>
  <c r="F37"/>
  <c r="F34"/>
  <c r="F17" i="11"/>
  <c r="F14"/>
  <c r="F17" i="10"/>
  <c r="F44" i="13"/>
  <c r="F37"/>
  <c r="J12"/>
  <c r="F20" i="16"/>
  <c r="F18"/>
  <c r="F12" i="14"/>
  <c r="F25"/>
  <c r="F28"/>
  <c r="J3"/>
  <c r="F17" i="15"/>
  <c r="F43"/>
  <c r="F47" i="16" s="1"/>
  <c r="F40" i="15"/>
  <c r="F44" i="16" s="1"/>
  <c r="F37" i="15"/>
  <c r="F41" i="16" s="1"/>
  <c r="C19" i="19"/>
  <c r="N18" s="1"/>
  <c r="F27" i="15"/>
  <c r="F25" i="10"/>
  <c r="J12" i="15"/>
  <c r="F21" i="10"/>
  <c r="J12"/>
  <c r="F46" i="13"/>
  <c r="F38"/>
  <c r="F17"/>
  <c r="F13"/>
  <c r="J12" i="16"/>
  <c r="J3" i="10"/>
  <c r="C18" i="11"/>
  <c r="C42"/>
  <c r="C34"/>
  <c r="C26"/>
  <c r="C25"/>
  <c r="C35"/>
  <c r="C44"/>
  <c r="C21"/>
  <c r="C26" i="14"/>
  <c r="C27" i="10"/>
  <c r="C24" i="11"/>
  <c r="C33"/>
  <c r="C43"/>
  <c r="C20"/>
  <c r="C20" i="14"/>
  <c r="C33"/>
  <c r="C39"/>
  <c r="C35"/>
  <c r="C31"/>
  <c r="C27"/>
  <c r="C23"/>
  <c r="C19"/>
  <c r="C15"/>
  <c r="C23" i="11"/>
  <c r="C32"/>
  <c r="C41"/>
  <c r="C19"/>
  <c r="C12"/>
  <c r="C31"/>
  <c r="C40"/>
  <c r="C17"/>
  <c r="C22" i="10"/>
  <c r="C28"/>
  <c r="C23"/>
  <c r="C39" i="11"/>
  <c r="C30"/>
  <c r="C16"/>
  <c r="C29"/>
  <c r="C38"/>
  <c r="C15"/>
  <c r="C12" i="14"/>
  <c r="C25"/>
  <c r="C28"/>
  <c r="C21" i="10"/>
  <c r="C28" i="11"/>
  <c r="C37"/>
  <c r="C14"/>
  <c r="E22" i="14"/>
  <c r="E42" i="11"/>
  <c r="D32"/>
  <c r="C57" i="20"/>
  <c r="E41" i="11"/>
  <c r="D44" i="10"/>
  <c r="E26" i="14"/>
  <c r="C39" i="20"/>
  <c r="D21" i="11"/>
  <c r="E29"/>
  <c r="C45" i="20"/>
  <c r="C20"/>
  <c r="C50"/>
  <c r="E44" i="11"/>
  <c r="D20"/>
  <c r="D13" i="10"/>
  <c r="D26"/>
  <c r="E30" i="14"/>
  <c r="E24" i="11"/>
  <c r="D24"/>
  <c r="E21" i="15"/>
  <c r="C33" i="20"/>
  <c r="C45" i="19"/>
  <c r="C56" i="20"/>
  <c r="D23" i="11"/>
  <c r="C44" i="19"/>
  <c r="C38" i="20"/>
  <c r="E23" i="10"/>
  <c r="E34" i="14"/>
  <c r="E27" i="11"/>
  <c r="N56" i="19"/>
  <c r="E21" i="11"/>
  <c r="E22" i="15"/>
  <c r="D18" i="11"/>
  <c r="D12"/>
  <c r="N21" i="19"/>
  <c r="E47" i="15"/>
  <c r="C21" i="20"/>
  <c r="D26" i="11"/>
  <c r="E30"/>
  <c r="D22" i="15"/>
  <c r="E33" i="11"/>
  <c r="E13"/>
  <c r="C15" i="19"/>
  <c r="E36" i="11"/>
  <c r="D40"/>
  <c r="C44" i="20"/>
  <c r="C27"/>
  <c r="E35" i="11"/>
  <c r="E36" i="10"/>
  <c r="E18" i="14"/>
  <c r="E37" i="11"/>
  <c r="C51" i="20"/>
  <c r="N55" i="19"/>
  <c r="E39" i="10"/>
  <c r="D19"/>
  <c r="E38" i="14"/>
  <c r="D29" i="11"/>
  <c r="C57" i="19"/>
  <c r="E18" i="10"/>
  <c r="D43" i="11"/>
  <c r="C15" i="20"/>
  <c r="D25" i="15"/>
  <c r="N19" i="19"/>
  <c r="E32" i="11"/>
  <c r="D31" i="10"/>
  <c r="E14" i="14"/>
  <c r="E39" i="11"/>
  <c r="C14" i="20"/>
  <c r="C32"/>
  <c r="C26"/>
  <c r="E38" i="11"/>
  <c r="C14" i="19"/>
  <c r="C13" l="1"/>
  <c r="N12" s="1"/>
  <c r="C25" i="20"/>
  <c r="N24" s="1"/>
  <c r="C31"/>
  <c r="N30" s="1"/>
  <c r="C13"/>
  <c r="N12" s="1"/>
  <c r="F31" i="10"/>
  <c r="F25" i="15"/>
  <c r="F43" i="11"/>
  <c r="F29"/>
  <c r="C43" i="20"/>
  <c r="N42" s="1"/>
  <c r="F40" i="11"/>
  <c r="F22" i="15"/>
  <c r="F26" i="11"/>
  <c r="F12"/>
  <c r="F18"/>
  <c r="C37" i="20"/>
  <c r="N36" s="1"/>
  <c r="C43" i="19"/>
  <c r="N42" s="1"/>
  <c r="F23" i="11"/>
  <c r="C55" i="20"/>
  <c r="N54" s="1"/>
  <c r="F24" i="11"/>
  <c r="F26" i="10"/>
  <c r="F13"/>
  <c r="F20" i="11"/>
  <c r="C49" i="20"/>
  <c r="N48" s="1"/>
  <c r="C19"/>
  <c r="N18" s="1"/>
  <c r="F21" i="11"/>
  <c r="F44" i="10"/>
  <c r="F32" i="11"/>
  <c r="O24" i="19"/>
  <c r="M24"/>
  <c r="M18"/>
  <c r="O18"/>
  <c r="M30"/>
  <c r="O30"/>
  <c r="M54"/>
  <c r="O54"/>
  <c r="O48"/>
  <c r="M48"/>
  <c r="O36"/>
  <c r="M36"/>
  <c r="N25"/>
  <c r="N33"/>
  <c r="N58"/>
  <c r="N20"/>
  <c r="N57"/>
  <c r="N51"/>
  <c r="N26"/>
  <c r="N22"/>
  <c r="N31"/>
  <c r="N49"/>
  <c r="N40"/>
  <c r="N32"/>
  <c r="N50"/>
  <c r="C58"/>
  <c r="N28"/>
  <c r="N39"/>
  <c r="N34"/>
  <c r="N52"/>
  <c r="N37"/>
  <c r="N27"/>
  <c r="N38"/>
  <c r="P54" l="1"/>
  <c r="L30"/>
  <c r="L24"/>
  <c r="O48" i="20"/>
  <c r="M48"/>
  <c r="O36"/>
  <c r="M36"/>
  <c r="O12" i="19"/>
  <c r="M12"/>
  <c r="P48"/>
  <c r="P30"/>
  <c r="O18" i="20"/>
  <c r="M18"/>
  <c r="M42" i="19"/>
  <c r="O42"/>
  <c r="O24" i="20"/>
  <c r="M24"/>
  <c r="L36" i="19"/>
  <c r="L18"/>
  <c r="M42" i="20"/>
  <c r="O42"/>
  <c r="O30"/>
  <c r="M30"/>
  <c r="M54"/>
  <c r="O54"/>
  <c r="M12"/>
  <c r="O12"/>
  <c r="P18" i="19"/>
  <c r="L48"/>
  <c r="L54"/>
  <c r="P24"/>
  <c r="P36"/>
  <c r="O58"/>
  <c r="M26"/>
  <c r="N51" i="20"/>
  <c r="N39"/>
  <c r="O50" i="19"/>
  <c r="O34"/>
  <c r="N43"/>
  <c r="N28" i="20"/>
  <c r="M22" i="19"/>
  <c r="N44" i="20"/>
  <c r="N32"/>
  <c r="O22" i="19"/>
  <c r="M58"/>
  <c r="O28"/>
  <c r="O55"/>
  <c r="M31"/>
  <c r="N52" i="20"/>
  <c r="N40"/>
  <c r="O32" i="19"/>
  <c r="N25" i="20"/>
  <c r="M37" i="19"/>
  <c r="N43" i="20"/>
  <c r="N31"/>
  <c r="O19" i="19"/>
  <c r="O25"/>
  <c r="O57"/>
  <c r="M33"/>
  <c r="N37" i="20"/>
  <c r="N13" i="19"/>
  <c r="N21" i="20"/>
  <c r="M40" i="19"/>
  <c r="N34" i="20"/>
  <c r="N57"/>
  <c r="O21" i="19"/>
  <c r="M51"/>
  <c r="O27"/>
  <c r="C22"/>
  <c r="C28"/>
  <c r="M32"/>
  <c r="N38" i="20"/>
  <c r="N15" i="19"/>
  <c r="O31"/>
  <c r="N22" i="20"/>
  <c r="M39" i="19"/>
  <c r="N33" i="20"/>
  <c r="N56"/>
  <c r="M50" i="19"/>
  <c r="O26"/>
  <c r="O39"/>
  <c r="C34"/>
  <c r="M34"/>
  <c r="M28"/>
  <c r="N14"/>
  <c r="O33"/>
  <c r="N20" i="20"/>
  <c r="N44" i="19"/>
  <c r="M20"/>
  <c r="N58" i="20"/>
  <c r="N13"/>
  <c r="M49" i="19"/>
  <c r="O37"/>
  <c r="C52"/>
  <c r="M25"/>
  <c r="N16"/>
  <c r="O52"/>
  <c r="N19" i="20"/>
  <c r="M38" i="19"/>
  <c r="N55" i="20"/>
  <c r="N15"/>
  <c r="M52" i="19"/>
  <c r="M56"/>
  <c r="O38"/>
  <c r="C40"/>
  <c r="O56"/>
  <c r="N49" i="20"/>
  <c r="O49" i="19"/>
  <c r="N46"/>
  <c r="N26" i="20"/>
  <c r="M19" i="19"/>
  <c r="N45" i="20"/>
  <c r="N16"/>
  <c r="M57" i="19"/>
  <c r="M27"/>
  <c r="N50" i="20"/>
  <c r="O51" i="19"/>
  <c r="N45"/>
  <c r="N27" i="20"/>
  <c r="M21" i="19"/>
  <c r="N46" i="20"/>
  <c r="N14"/>
  <c r="O20" i="19"/>
  <c r="M55"/>
  <c r="O40"/>
  <c r="L54" i="20" l="1"/>
  <c r="P18"/>
  <c r="P12" i="19"/>
  <c r="Q54"/>
  <c r="Q36"/>
  <c r="K48"/>
  <c r="P54" i="20"/>
  <c r="L18"/>
  <c r="L12" i="19"/>
  <c r="K24"/>
  <c r="P30" i="20"/>
  <c r="K18" i="19"/>
  <c r="P42"/>
  <c r="P36" i="20"/>
  <c r="K30" i="19"/>
  <c r="Q24"/>
  <c r="L30" i="20"/>
  <c r="K36" i="19"/>
  <c r="L36" i="20"/>
  <c r="Q18" i="19"/>
  <c r="L42" i="20"/>
  <c r="P24"/>
  <c r="P48"/>
  <c r="P42"/>
  <c r="L24"/>
  <c r="Q30" i="19"/>
  <c r="L48" i="20"/>
  <c r="K54" i="19"/>
  <c r="L12" i="20"/>
  <c r="L42" i="19"/>
  <c r="Q48"/>
  <c r="P12" i="20"/>
  <c r="C34"/>
  <c r="M56"/>
  <c r="L51" i="19"/>
  <c r="M21" i="20"/>
  <c r="M14" i="19"/>
  <c r="O31" i="20"/>
  <c r="O45" i="19"/>
  <c r="O37" i="20"/>
  <c r="P26" i="19"/>
  <c r="M31" i="20"/>
  <c r="M37"/>
  <c r="O25"/>
  <c r="O46"/>
  <c r="M28"/>
  <c r="M49"/>
  <c r="M43" i="19"/>
  <c r="O16" i="20"/>
  <c r="C40"/>
  <c r="M57"/>
  <c r="O14" i="19"/>
  <c r="P57"/>
  <c r="L52"/>
  <c r="O33" i="20"/>
  <c r="L21" i="19"/>
  <c r="O39" i="20"/>
  <c r="P28" i="19"/>
  <c r="M34" i="20"/>
  <c r="M39"/>
  <c r="P19" i="19"/>
  <c r="O26" i="20"/>
  <c r="M26"/>
  <c r="M52"/>
  <c r="L58" i="19"/>
  <c r="M46"/>
  <c r="C16"/>
  <c r="M58" i="20"/>
  <c r="O16" i="19"/>
  <c r="P58"/>
  <c r="O55" i="20"/>
  <c r="M13" i="19"/>
  <c r="L22"/>
  <c r="O38" i="20"/>
  <c r="L33" i="19"/>
  <c r="M32" i="20"/>
  <c r="P20" i="19"/>
  <c r="O28" i="20"/>
  <c r="O51"/>
  <c r="M27"/>
  <c r="L56" i="19"/>
  <c r="P52"/>
  <c r="C16" i="20"/>
  <c r="M55"/>
  <c r="O20"/>
  <c r="P55" i="19"/>
  <c r="L50"/>
  <c r="O56" i="20"/>
  <c r="M15" i="19"/>
  <c r="L26"/>
  <c r="L20"/>
  <c r="M33" i="20"/>
  <c r="L38" i="19"/>
  <c r="P22"/>
  <c r="O49" i="20"/>
  <c r="M25"/>
  <c r="P32" i="19"/>
  <c r="L55"/>
  <c r="M45"/>
  <c r="P51"/>
  <c r="C22" i="20"/>
  <c r="O21"/>
  <c r="P39" i="19"/>
  <c r="O57" i="20"/>
  <c r="M16" i="19"/>
  <c r="L25"/>
  <c r="L19"/>
  <c r="O44"/>
  <c r="L34"/>
  <c r="L40"/>
  <c r="M44" i="20"/>
  <c r="O52"/>
  <c r="P34" i="19"/>
  <c r="L57"/>
  <c r="M14" i="20"/>
  <c r="P50" i="19"/>
  <c r="C58" i="20"/>
  <c r="C46" i="19"/>
  <c r="O19" i="20"/>
  <c r="P56" i="19"/>
  <c r="P38"/>
  <c r="O58" i="20"/>
  <c r="M20"/>
  <c r="L28" i="19"/>
  <c r="L32"/>
  <c r="P27"/>
  <c r="L37"/>
  <c r="P21"/>
  <c r="M46" i="20"/>
  <c r="O50"/>
  <c r="O43"/>
  <c r="P31" i="19"/>
  <c r="M13" i="20"/>
  <c r="P49" i="19"/>
  <c r="O13" i="20"/>
  <c r="C52"/>
  <c r="C28"/>
  <c r="O22"/>
  <c r="O13" i="19"/>
  <c r="P40"/>
  <c r="M22" i="20"/>
  <c r="L27" i="19"/>
  <c r="O34" i="20"/>
  <c r="O46" i="19"/>
  <c r="L31"/>
  <c r="L39"/>
  <c r="M40" i="20"/>
  <c r="M43"/>
  <c r="O45"/>
  <c r="M51"/>
  <c r="M16"/>
  <c r="O14"/>
  <c r="C46"/>
  <c r="O15" i="19"/>
  <c r="P37"/>
  <c r="L49"/>
  <c r="M19" i="20"/>
  <c r="O32"/>
  <c r="O43" i="19"/>
  <c r="O40" i="20"/>
  <c r="P25" i="19"/>
  <c r="M38" i="20"/>
  <c r="M45"/>
  <c r="O27"/>
  <c r="O44"/>
  <c r="P33" i="19"/>
  <c r="M50" i="20"/>
  <c r="M15"/>
  <c r="M44" i="19"/>
  <c r="O15" i="20"/>
  <c r="J36" i="19" l="1"/>
  <c r="J24"/>
  <c r="Q18" i="20"/>
  <c r="R48" i="19"/>
  <c r="R30"/>
  <c r="Q48" i="20"/>
  <c r="R24" i="19"/>
  <c r="Q54" i="20"/>
  <c r="J54" i="19"/>
  <c r="Q42"/>
  <c r="J18"/>
  <c r="K24" i="20"/>
  <c r="R18" i="19"/>
  <c r="K30" i="20"/>
  <c r="R54" i="19"/>
  <c r="K54" i="20"/>
  <c r="Q24"/>
  <c r="J30" i="19"/>
  <c r="Q36" i="20"/>
  <c r="K42" i="19"/>
  <c r="K48" i="20"/>
  <c r="K36"/>
  <c r="Q30"/>
  <c r="J48" i="19"/>
  <c r="Q12" i="20"/>
  <c r="Q42"/>
  <c r="K12" i="19"/>
  <c r="K18" i="20"/>
  <c r="K12"/>
  <c r="K42"/>
  <c r="R36" i="19"/>
  <c r="Q12"/>
  <c r="K27"/>
  <c r="Q34"/>
  <c r="Q28"/>
  <c r="P57" i="20"/>
  <c r="P43" i="19"/>
  <c r="Q20"/>
  <c r="Q57"/>
  <c r="L57" i="20"/>
  <c r="K32" i="19"/>
  <c r="L46"/>
  <c r="L51" i="20"/>
  <c r="P32"/>
  <c r="K52" i="19"/>
  <c r="P44" i="20"/>
  <c r="L15"/>
  <c r="Q38" i="19"/>
  <c r="P15"/>
  <c r="P45"/>
  <c r="Q21"/>
  <c r="L56" i="20"/>
  <c r="L50"/>
  <c r="K49" i="19"/>
  <c r="L13"/>
  <c r="L45" i="20"/>
  <c r="K38" i="19"/>
  <c r="P58" i="20"/>
  <c r="K21" i="19"/>
  <c r="L31" i="20"/>
  <c r="P28"/>
  <c r="K51" i="19"/>
  <c r="L15"/>
  <c r="L46" i="20"/>
  <c r="P21"/>
  <c r="P51"/>
  <c r="K22" i="19"/>
  <c r="L34" i="20"/>
  <c r="P37"/>
  <c r="L38"/>
  <c r="L14" i="19"/>
  <c r="L43" i="20"/>
  <c r="K39" i="19"/>
  <c r="P49" i="20"/>
  <c r="K58" i="19"/>
  <c r="L33" i="20"/>
  <c r="P25"/>
  <c r="L40"/>
  <c r="P15"/>
  <c r="L21"/>
  <c r="Q37" i="19"/>
  <c r="K26"/>
  <c r="P44"/>
  <c r="P26" i="20"/>
  <c r="L44" i="19"/>
  <c r="P16" i="20"/>
  <c r="L19"/>
  <c r="K25" i="19"/>
  <c r="Q32"/>
  <c r="K56"/>
  <c r="L28" i="20"/>
  <c r="Q58" i="19"/>
  <c r="L43"/>
  <c r="P33" i="20"/>
  <c r="L22"/>
  <c r="K28" i="19"/>
  <c r="P22" i="20"/>
  <c r="Q31" i="19"/>
  <c r="Q25"/>
  <c r="P56" i="20"/>
  <c r="K20" i="19"/>
  <c r="Q19"/>
  <c r="L58" i="20"/>
  <c r="K31" i="19"/>
  <c r="P39" i="20"/>
  <c r="L49"/>
  <c r="K50" i="19"/>
  <c r="P43" i="20"/>
  <c r="L16" i="19"/>
  <c r="L14" i="20"/>
  <c r="Q40" i="19"/>
  <c r="P14"/>
  <c r="P19" i="20"/>
  <c r="Q33" i="19"/>
  <c r="P50" i="20"/>
  <c r="P55"/>
  <c r="K19" i="19"/>
  <c r="L32" i="20"/>
  <c r="P40"/>
  <c r="L37"/>
  <c r="L13"/>
  <c r="P16" i="19"/>
  <c r="P20" i="20"/>
  <c r="P52"/>
  <c r="K55" i="19"/>
  <c r="L55" i="20"/>
  <c r="P38"/>
  <c r="L39"/>
  <c r="P13"/>
  <c r="K37" i="19"/>
  <c r="Q49"/>
  <c r="K57"/>
  <c r="L27" i="20"/>
  <c r="P27"/>
  <c r="P14"/>
  <c r="L20"/>
  <c r="P13" i="19"/>
  <c r="Q50"/>
  <c r="Q27"/>
  <c r="L26" i="20"/>
  <c r="Q56" i="19"/>
  <c r="L45"/>
  <c r="P34" i="20"/>
  <c r="L44"/>
  <c r="K40" i="19"/>
  <c r="Q52"/>
  <c r="L25" i="20"/>
  <c r="Q55" i="19"/>
  <c r="K33"/>
  <c r="P31" i="20"/>
  <c r="P45"/>
  <c r="Q39" i="19"/>
  <c r="Q51"/>
  <c r="Q26"/>
  <c r="P46"/>
  <c r="Q22"/>
  <c r="K34"/>
  <c r="L52" i="20"/>
  <c r="P46"/>
  <c r="L16"/>
  <c r="R12" l="1"/>
  <c r="R24"/>
  <c r="J42"/>
  <c r="J36"/>
  <c r="I54" i="19"/>
  <c r="R48" i="20"/>
  <c r="J12" i="19"/>
  <c r="R36" i="20"/>
  <c r="I18" i="19"/>
  <c r="R18" i="20"/>
  <c r="I48" i="19"/>
  <c r="J42"/>
  <c r="J54" i="20"/>
  <c r="R54"/>
  <c r="R12" i="19"/>
  <c r="J12" i="20"/>
  <c r="S18" i="19"/>
  <c r="R42" i="20"/>
  <c r="I30" i="19"/>
  <c r="I24"/>
  <c r="R30" i="20"/>
  <c r="S54" i="19"/>
  <c r="R42"/>
  <c r="S36"/>
  <c r="I36"/>
  <c r="J30" i="20"/>
  <c r="S24" i="19"/>
  <c r="J48" i="20"/>
  <c r="S30" i="19"/>
  <c r="J18" i="20"/>
  <c r="J24"/>
  <c r="S48" i="19"/>
  <c r="Q26" i="20"/>
  <c r="J58" i="19"/>
  <c r="K13"/>
  <c r="Q38" i="20"/>
  <c r="Q21"/>
  <c r="K44" i="19"/>
  <c r="K57" i="20"/>
  <c r="Q13" i="19"/>
  <c r="K14" i="20"/>
  <c r="Q44"/>
  <c r="J27" i="19"/>
  <c r="Q32" i="20"/>
  <c r="R40" i="19"/>
  <c r="K33" i="20"/>
  <c r="R31" i="19"/>
  <c r="K26" i="20"/>
  <c r="R51" i="19"/>
  <c r="Q56" i="20"/>
  <c r="J33" i="19"/>
  <c r="R38"/>
  <c r="K19" i="20"/>
  <c r="R57" i="19"/>
  <c r="R32"/>
  <c r="J25"/>
  <c r="R49"/>
  <c r="K22" i="20"/>
  <c r="Q22"/>
  <c r="Q45" i="19"/>
  <c r="Q25" i="20"/>
  <c r="K46"/>
  <c r="K15" i="19"/>
  <c r="Q40" i="20"/>
  <c r="Q20"/>
  <c r="J50" i="19"/>
  <c r="K58" i="20"/>
  <c r="K15"/>
  <c r="Q46"/>
  <c r="J31" i="19"/>
  <c r="Q33" i="20"/>
  <c r="Q44" i="19"/>
  <c r="K34" i="20"/>
  <c r="R27" i="19"/>
  <c r="R33"/>
  <c r="R50"/>
  <c r="J52"/>
  <c r="K16" i="20"/>
  <c r="R55" i="19"/>
  <c r="R22"/>
  <c r="J38"/>
  <c r="R52"/>
  <c r="R28"/>
  <c r="R25"/>
  <c r="J39"/>
  <c r="J57"/>
  <c r="R20"/>
  <c r="K27" i="20"/>
  <c r="K44"/>
  <c r="J56" i="19"/>
  <c r="Q49" i="20"/>
  <c r="Q37"/>
  <c r="K55"/>
  <c r="Q31"/>
  <c r="J34" i="19"/>
  <c r="R26"/>
  <c r="K20" i="20"/>
  <c r="Q46" i="19"/>
  <c r="Q43"/>
  <c r="K39" i="20"/>
  <c r="Q16" i="19"/>
  <c r="J40"/>
  <c r="Q14" i="20"/>
  <c r="K43"/>
  <c r="J55" i="19"/>
  <c r="Q50" i="20"/>
  <c r="Q39"/>
  <c r="J19" i="19"/>
  <c r="J49"/>
  <c r="Q55" i="20"/>
  <c r="K13"/>
  <c r="R37" i="19"/>
  <c r="K21" i="20"/>
  <c r="R39" i="19"/>
  <c r="R56"/>
  <c r="K28" i="20"/>
  <c r="Q27"/>
  <c r="K56"/>
  <c r="K32"/>
  <c r="Q15"/>
  <c r="K45"/>
  <c r="K38"/>
  <c r="Q52"/>
  <c r="J21" i="19"/>
  <c r="J51"/>
  <c r="K43"/>
  <c r="Q58" i="20"/>
  <c r="R19" i="19"/>
  <c r="K52" i="20"/>
  <c r="K49"/>
  <c r="K51"/>
  <c r="K14" i="19"/>
  <c r="Q45" i="20"/>
  <c r="Q13"/>
  <c r="K40"/>
  <c r="Q51"/>
  <c r="K16" i="19"/>
  <c r="J22"/>
  <c r="K45"/>
  <c r="Q57" i="20"/>
  <c r="Q15" i="19"/>
  <c r="R21"/>
  <c r="J32"/>
  <c r="J37"/>
  <c r="K31" i="20"/>
  <c r="J20" i="19"/>
  <c r="J26"/>
  <c r="R34"/>
  <c r="Q16" i="20"/>
  <c r="Q28"/>
  <c r="K37"/>
  <c r="Q19"/>
  <c r="K46" i="19"/>
  <c r="Q14"/>
  <c r="Q43" i="20"/>
  <c r="J28" i="19"/>
  <c r="R58"/>
  <c r="K25" i="20"/>
  <c r="Q34"/>
  <c r="K50"/>
  <c r="I42" i="19" l="1"/>
  <c r="T18"/>
  <c r="S54" i="20"/>
  <c r="H18" i="19"/>
  <c r="I12"/>
  <c r="S48" i="20"/>
  <c r="H48" i="19"/>
  <c r="I42" i="20"/>
  <c r="T54" i="19"/>
  <c r="I12" i="20"/>
  <c r="S36"/>
  <c r="S30"/>
  <c r="I54"/>
  <c r="H36" i="19"/>
  <c r="H30"/>
  <c r="I30" i="20"/>
  <c r="S42"/>
  <c r="S18"/>
  <c r="S24"/>
  <c r="H24" i="19"/>
  <c r="T48"/>
  <c r="T30"/>
  <c r="T24"/>
  <c r="I24" i="20"/>
  <c r="T36" i="19"/>
  <c r="S12"/>
  <c r="H54"/>
  <c r="S12" i="20"/>
  <c r="I18"/>
  <c r="I48"/>
  <c r="S42" i="19"/>
  <c r="I36" i="20"/>
  <c r="S19" i="19"/>
  <c r="J14"/>
  <c r="J46" i="20"/>
  <c r="J14"/>
  <c r="J56"/>
  <c r="I34" i="19"/>
  <c r="J33" i="20"/>
  <c r="R20"/>
  <c r="I25" i="19"/>
  <c r="S28"/>
  <c r="J25" i="20"/>
  <c r="R15" i="19"/>
  <c r="J19" i="20"/>
  <c r="J40"/>
  <c r="J39"/>
  <c r="R56"/>
  <c r="R49"/>
  <c r="I38" i="19"/>
  <c r="R26" i="20"/>
  <c r="J27"/>
  <c r="J38"/>
  <c r="R55"/>
  <c r="R40"/>
  <c r="R46"/>
  <c r="S33" i="19"/>
  <c r="J50" i="20"/>
  <c r="I21" i="19"/>
  <c r="S55"/>
  <c r="I32"/>
  <c r="I27"/>
  <c r="J49" i="20"/>
  <c r="S20" i="19"/>
  <c r="I52"/>
  <c r="R33" i="20"/>
  <c r="R45"/>
  <c r="R13" i="19"/>
  <c r="I20"/>
  <c r="I50"/>
  <c r="J57" i="20"/>
  <c r="I26" i="19"/>
  <c r="R16"/>
  <c r="S21"/>
  <c r="R57" i="20"/>
  <c r="I49" i="19"/>
  <c r="J43" i="20"/>
  <c r="J15"/>
  <c r="R39"/>
  <c r="J58"/>
  <c r="J31"/>
  <c r="R21"/>
  <c r="R27"/>
  <c r="S52" i="19"/>
  <c r="S27"/>
  <c r="J26" i="20"/>
  <c r="R14" i="19"/>
  <c r="I55"/>
  <c r="J22" i="20"/>
  <c r="R44" i="19"/>
  <c r="J45"/>
  <c r="J44" i="20"/>
  <c r="R38"/>
  <c r="R44"/>
  <c r="S34" i="19"/>
  <c r="I58"/>
  <c r="J46"/>
  <c r="R52" i="20"/>
  <c r="R34"/>
  <c r="R28"/>
  <c r="I56" i="19"/>
  <c r="R51" i="20"/>
  <c r="R31"/>
  <c r="R43"/>
  <c r="S25" i="19"/>
  <c r="R14" i="20"/>
  <c r="J43" i="19"/>
  <c r="S56"/>
  <c r="I39"/>
  <c r="R19" i="20"/>
  <c r="S37" i="19"/>
  <c r="R43"/>
  <c r="J16"/>
  <c r="J16" i="20"/>
  <c r="I33" i="19"/>
  <c r="S50"/>
  <c r="R15" i="20"/>
  <c r="R46" i="19"/>
  <c r="R58" i="20"/>
  <c r="J13" i="19"/>
  <c r="R50" i="20"/>
  <c r="J45"/>
  <c r="R37"/>
  <c r="J55"/>
  <c r="I40" i="19"/>
  <c r="J34" i="20"/>
  <c r="R25"/>
  <c r="S49" i="19"/>
  <c r="S31"/>
  <c r="J28" i="20"/>
  <c r="I57" i="19"/>
  <c r="J21" i="20"/>
  <c r="J52"/>
  <c r="J37"/>
  <c r="J15" i="19"/>
  <c r="S58"/>
  <c r="J32" i="20"/>
  <c r="S51" i="19"/>
  <c r="S38"/>
  <c r="J51" i="20"/>
  <c r="I19" i="19"/>
  <c r="S57"/>
  <c r="I28"/>
  <c r="R16" i="20"/>
  <c r="J44" i="19"/>
  <c r="I51"/>
  <c r="I37"/>
  <c r="S32"/>
  <c r="S40"/>
  <c r="R45"/>
  <c r="I22"/>
  <c r="J13" i="20"/>
  <c r="I31" i="19"/>
  <c r="S26"/>
  <c r="R13" i="20"/>
  <c r="S22" i="19"/>
  <c r="R32" i="20"/>
  <c r="R22"/>
  <c r="S39" i="19"/>
  <c r="J20" i="20"/>
  <c r="T42" l="1"/>
  <c r="T24"/>
  <c r="H30"/>
  <c r="T12" i="19"/>
  <c r="T18" i="20"/>
  <c r="H12"/>
  <c r="T48"/>
  <c r="T36"/>
  <c r="T54"/>
  <c r="H36"/>
  <c r="H24"/>
  <c r="H12" i="19"/>
  <c r="H42"/>
  <c r="H48" i="20"/>
  <c r="H42"/>
  <c r="H18"/>
  <c r="H54"/>
  <c r="T42" i="19"/>
  <c r="T12" i="20"/>
  <c r="T30"/>
  <c r="S44"/>
  <c r="H28" i="19"/>
  <c r="T37"/>
  <c r="H38"/>
  <c r="S14"/>
  <c r="I16" i="20"/>
  <c r="S52"/>
  <c r="S39"/>
  <c r="I38"/>
  <c r="H34" i="19"/>
  <c r="I13"/>
  <c r="I50" i="20"/>
  <c r="H55" i="19"/>
  <c r="I58" i="20"/>
  <c r="S16"/>
  <c r="H50" i="19"/>
  <c r="T40"/>
  <c r="I44"/>
  <c r="H21"/>
  <c r="S46" i="20"/>
  <c r="H26" i="19"/>
  <c r="T39"/>
  <c r="I31" i="20"/>
  <c r="S16" i="19"/>
  <c r="I13" i="20"/>
  <c r="S38"/>
  <c r="I40"/>
  <c r="I28"/>
  <c r="I14" i="19"/>
  <c r="I51" i="20"/>
  <c r="H58" i="19"/>
  <c r="I45" i="20"/>
  <c r="I55"/>
  <c r="T50" i="19"/>
  <c r="H52"/>
  <c r="H39"/>
  <c r="I22" i="20"/>
  <c r="S45"/>
  <c r="H25" i="19"/>
  <c r="S26" i="20"/>
  <c r="I33"/>
  <c r="S13" i="19"/>
  <c r="T19"/>
  <c r="S40" i="20"/>
  <c r="I26"/>
  <c r="I16" i="19"/>
  <c r="T33"/>
  <c r="I43" i="20"/>
  <c r="I56"/>
  <c r="S43" i="19"/>
  <c r="T52"/>
  <c r="H49"/>
  <c r="S33" i="20"/>
  <c r="H22" i="19"/>
  <c r="I15" i="20"/>
  <c r="H56" i="19"/>
  <c r="T58"/>
  <c r="S27" i="20"/>
  <c r="I34"/>
  <c r="S19"/>
  <c r="T22" i="19"/>
  <c r="S37" i="20"/>
  <c r="S56"/>
  <c r="I27"/>
  <c r="I43" i="19"/>
  <c r="T31"/>
  <c r="I44" i="20"/>
  <c r="S45" i="19"/>
  <c r="T49"/>
  <c r="H51"/>
  <c r="T51"/>
  <c r="H19"/>
  <c r="S51" i="20"/>
  <c r="I57"/>
  <c r="T28" i="19"/>
  <c r="T57"/>
  <c r="S25" i="20"/>
  <c r="I32"/>
  <c r="S15" i="19"/>
  <c r="S21" i="20"/>
  <c r="T21" i="19"/>
  <c r="S57" i="20"/>
  <c r="I25"/>
  <c r="I15" i="19"/>
  <c r="I45"/>
  <c r="T32"/>
  <c r="I46" i="20"/>
  <c r="I19"/>
  <c r="S44" i="19"/>
  <c r="H20"/>
  <c r="S43" i="20"/>
  <c r="I39"/>
  <c r="S14"/>
  <c r="T26" i="19"/>
  <c r="T56"/>
  <c r="S28" i="20"/>
  <c r="H37" i="19"/>
  <c r="S20" i="20"/>
  <c r="T20" i="19"/>
  <c r="S49" i="20"/>
  <c r="S55"/>
  <c r="H31" i="19"/>
  <c r="I46"/>
  <c r="T34"/>
  <c r="I20" i="20"/>
  <c r="S46" i="19"/>
  <c r="S13" i="20"/>
  <c r="S34"/>
  <c r="T27" i="19"/>
  <c r="H32"/>
  <c r="S31" i="20"/>
  <c r="T25" i="19"/>
  <c r="T55"/>
  <c r="T38"/>
  <c r="H40"/>
  <c r="S22" i="20"/>
  <c r="I14"/>
  <c r="S50"/>
  <c r="S58"/>
  <c r="I37"/>
  <c r="H33" i="19"/>
  <c r="I49" i="20"/>
  <c r="H57" i="19"/>
  <c r="I21" i="20"/>
  <c r="S15"/>
  <c r="S32"/>
  <c r="H27" i="19"/>
  <c r="I52" i="20"/>
  <c r="T43" i="19"/>
  <c r="T26" i="20"/>
  <c r="H28"/>
  <c r="T40"/>
  <c r="H56"/>
  <c r="T14" i="19"/>
  <c r="H50" i="20"/>
  <c r="H14"/>
  <c r="T49"/>
  <c r="H19"/>
  <c r="T55"/>
  <c r="H39"/>
  <c r="T45" i="19"/>
  <c r="T28" i="20"/>
  <c r="H27"/>
  <c r="T38"/>
  <c r="H58"/>
  <c r="T16" i="19"/>
  <c r="H52" i="20"/>
  <c r="H15"/>
  <c r="T52"/>
  <c r="H21"/>
  <c r="T33"/>
  <c r="T19"/>
  <c r="T44" i="19"/>
  <c r="T27" i="20"/>
  <c r="H26"/>
  <c r="T39"/>
  <c r="H55"/>
  <c r="T13" i="19"/>
  <c r="H49" i="20"/>
  <c r="H13"/>
  <c r="T51"/>
  <c r="H20"/>
  <c r="H44" i="19"/>
  <c r="T14" i="20"/>
  <c r="T46" i="19"/>
  <c r="T25" i="20"/>
  <c r="H25"/>
  <c r="T37"/>
  <c r="H57"/>
  <c r="T15" i="19"/>
  <c r="H51" i="20"/>
  <c r="H16"/>
  <c r="T50"/>
  <c r="H22"/>
  <c r="T32"/>
  <c r="T44"/>
  <c r="T57"/>
  <c r="H43" i="19"/>
  <c r="H44" i="20"/>
  <c r="H34"/>
  <c r="T21"/>
  <c r="H15" i="19"/>
  <c r="T46" i="20"/>
  <c r="H37"/>
  <c r="T16"/>
  <c r="H33"/>
  <c r="T58"/>
  <c r="H45" i="19"/>
  <c r="H45" i="20"/>
  <c r="H32"/>
  <c r="T20"/>
  <c r="H14" i="19"/>
  <c r="T43" i="20"/>
  <c r="H40"/>
  <c r="T13"/>
  <c r="H43"/>
  <c r="T31"/>
  <c r="T56"/>
  <c r="H46" i="19"/>
  <c r="H46" i="20"/>
  <c r="H31"/>
  <c r="T22"/>
  <c r="H16" i="19"/>
  <c r="T45" i="20"/>
  <c r="H38"/>
  <c r="T15"/>
  <c r="T34"/>
  <c r="H13" i="19"/>
</calcChain>
</file>

<file path=xl/comments1.xml><?xml version="1.0" encoding="utf-8"?>
<comments xmlns="http://schemas.openxmlformats.org/spreadsheetml/2006/main">
  <authors>
    <author>u91145</author>
  </authors>
  <commentList>
    <comment ref="L33" authorId="0">
      <text>
        <r>
          <rPr>
            <b/>
            <sz val="8"/>
            <color indexed="81"/>
            <rFont val="Tahoma"/>
          </rPr>
          <t>u91145:</t>
        </r>
        <r>
          <rPr>
            <sz val="8"/>
            <color indexed="81"/>
            <rFont val="Tahoma"/>
          </rPr>
          <t xml:space="preserve">
Avendo controllato che i basis swap 3Vs 6 in EUR sono calcolati sugli swap che pagano fisso con frequenza annuale si presume la stessa linea di principio per i basis swap in USD.</t>
        </r>
      </text>
    </comment>
  </commentList>
</comments>
</file>

<file path=xl/comments2.xml><?xml version="1.0" encoding="utf-8"?>
<comments xmlns="http://schemas.openxmlformats.org/spreadsheetml/2006/main">
  <authors>
    <author>u91145</author>
  </authors>
  <commentList>
    <comment ref="L33" authorId="0">
      <text>
        <r>
          <rPr>
            <b/>
            <sz val="8"/>
            <color indexed="81"/>
            <rFont val="Tahoma"/>
          </rPr>
          <t>u91145:</t>
        </r>
        <r>
          <rPr>
            <sz val="8"/>
            <color indexed="81"/>
            <rFont val="Tahoma"/>
          </rPr>
          <t xml:space="preserve">
Avendo controllato che i basis swap 3Vs 6 in EUR sono calcolati sugli swap che pagano fisso con frequenza annuale si presume la stessa linea di principio per i basis swap in USD.</t>
        </r>
      </text>
    </comment>
  </commentList>
</comments>
</file>

<file path=xl/comments3.xml><?xml version="1.0" encoding="utf-8"?>
<comments xmlns="http://schemas.openxmlformats.org/spreadsheetml/2006/main">
  <authors>
    <author>u91145</author>
  </authors>
  <commentList>
    <comment ref="L33" authorId="0">
      <text>
        <r>
          <rPr>
            <b/>
            <sz val="8"/>
            <color indexed="81"/>
            <rFont val="Tahoma"/>
          </rPr>
          <t>u91145:</t>
        </r>
        <r>
          <rPr>
            <sz val="8"/>
            <color indexed="81"/>
            <rFont val="Tahoma"/>
          </rPr>
          <t xml:space="preserve">
Avendo controllato che i basis swap 3Vs 6 in EUR sono calcolati sugli swap che pagano fisso con frequenza annuale si presume la stessa linea di principio per i basis swap in USD.</t>
        </r>
      </text>
    </comment>
  </commentList>
</comments>
</file>

<file path=xl/sharedStrings.xml><?xml version="1.0" encoding="utf-8"?>
<sst xmlns="http://schemas.openxmlformats.org/spreadsheetml/2006/main" count="1832" uniqueCount="217">
  <si>
    <t>Futures Strip</t>
  </si>
  <si>
    <t>Bus Day Adj</t>
  </si>
  <si>
    <t>A365</t>
  </si>
  <si>
    <t>1 YR</t>
  </si>
  <si>
    <t>US</t>
  </si>
  <si>
    <t>Swaps</t>
  </si>
  <si>
    <t>Cash</t>
  </si>
  <si>
    <t>2 YR</t>
  </si>
  <si>
    <t>3 YR</t>
  </si>
  <si>
    <t>4 YR</t>
  </si>
  <si>
    <t>5 YR</t>
  </si>
  <si>
    <t>6 YR</t>
  </si>
  <si>
    <t>7 YR</t>
  </si>
  <si>
    <t>8 YR</t>
  </si>
  <si>
    <t>9 YR</t>
  </si>
  <si>
    <t>10 YR</t>
  </si>
  <si>
    <t>12 YR</t>
  </si>
  <si>
    <t>15 YR</t>
  </si>
  <si>
    <t>20 YR</t>
  </si>
  <si>
    <t>25 YR</t>
  </si>
  <si>
    <t>30 YR</t>
  </si>
  <si>
    <t>35 YR</t>
  </si>
  <si>
    <t>40 YR</t>
  </si>
  <si>
    <t>45 YR</t>
  </si>
  <si>
    <t>50 YR</t>
  </si>
  <si>
    <t>Calendar</t>
  </si>
  <si>
    <t>Period</t>
  </si>
  <si>
    <t>wd</t>
  </si>
  <si>
    <t>w</t>
  </si>
  <si>
    <t>m</t>
  </si>
  <si>
    <t>y</t>
  </si>
  <si>
    <t>Today</t>
  </si>
  <si>
    <t>Start Date</t>
  </si>
  <si>
    <t>BusDayAdj=-2</t>
  </si>
  <si>
    <t>A360</t>
  </si>
  <si>
    <t>MID</t>
  </si>
  <si>
    <t>ICMA_AA</t>
  </si>
  <si>
    <t>30360</t>
  </si>
  <si>
    <t>USD</t>
  </si>
  <si>
    <t>Cal Code</t>
  </si>
  <si>
    <t>Futures Code</t>
  </si>
  <si>
    <t>ED</t>
  </si>
  <si>
    <t>T+</t>
  </si>
  <si>
    <t>Futures</t>
  </si>
  <si>
    <t>Pricing Source</t>
  </si>
  <si>
    <t>CMPN</t>
  </si>
  <si>
    <t>Fx Prefix</t>
  </si>
  <si>
    <t>1W</t>
  </si>
  <si>
    <t>1M</t>
  </si>
  <si>
    <t>2M</t>
  </si>
  <si>
    <t>3M</t>
  </si>
  <si>
    <t>1BD</t>
  </si>
  <si>
    <t>Cash Prefix</t>
  </si>
  <si>
    <t>Gen Prefix</t>
  </si>
  <si>
    <t>Depo Prefix</t>
  </si>
  <si>
    <t>Quarterly</t>
  </si>
  <si>
    <t>BID</t>
  </si>
  <si>
    <t>ASK</t>
  </si>
  <si>
    <t>Adjustment</t>
  </si>
  <si>
    <t>Curve Configuration</t>
  </si>
  <si>
    <t>Num Periods</t>
  </si>
  <si>
    <t>LOOKUPS</t>
  </si>
  <si>
    <t>*do not delete*</t>
  </si>
  <si>
    <t>Side</t>
  </si>
  <si>
    <t>Pricing Sources</t>
  </si>
  <si>
    <t>CMPL</t>
  </si>
  <si>
    <t>CMPT</t>
  </si>
  <si>
    <t>LAST</t>
  </si>
  <si>
    <t>Annual</t>
  </si>
  <si>
    <t>Semiannual</t>
  </si>
  <si>
    <t>Monthly</t>
  </si>
  <si>
    <t xml:space="preserve">Update curve every </t>
  </si>
  <si>
    <t>seconds</t>
  </si>
  <si>
    <t>UpdFrq</t>
  </si>
  <si>
    <t>Settle Date</t>
  </si>
  <si>
    <t>Raw Curve Data</t>
  </si>
  <si>
    <t>Calendar Code</t>
  </si>
  <si>
    <t>EUR</t>
  </si>
  <si>
    <t>EU</t>
  </si>
  <si>
    <t>ER</t>
  </si>
  <si>
    <t>2W</t>
  </si>
  <si>
    <t>3W</t>
  </si>
  <si>
    <t>4M</t>
  </si>
  <si>
    <t>5M</t>
  </si>
  <si>
    <t>6M</t>
  </si>
  <si>
    <t>7M</t>
  </si>
  <si>
    <t>8M</t>
  </si>
  <si>
    <t>9M</t>
  </si>
  <si>
    <t>10M</t>
  </si>
  <si>
    <t>11M</t>
  </si>
  <si>
    <t>18M</t>
  </si>
  <si>
    <t>21M</t>
  </si>
  <si>
    <t>15M</t>
  </si>
  <si>
    <t>EONIA Swaps</t>
  </si>
  <si>
    <t>1) Futures: Settle Date=Start Date + 3m (con funzione BAddPeriods)</t>
  </si>
  <si>
    <t>2) Futures: ASK(rate)=100-BID(price) e viceversa (NON: ASK=100-ASK)</t>
  </si>
  <si>
    <t>11 YR</t>
  </si>
  <si>
    <t>1SN</t>
  </si>
  <si>
    <t>1 x 4</t>
  </si>
  <si>
    <t>FRA</t>
  </si>
  <si>
    <t>2 x 5</t>
  </si>
  <si>
    <t>3 x 6</t>
  </si>
  <si>
    <t>ICPL</t>
  </si>
  <si>
    <t>3) Aggiunta dei FRA per il calcolo sul breve</t>
  </si>
  <si>
    <t>Fixing</t>
  </si>
  <si>
    <t>Euribor 6M</t>
  </si>
  <si>
    <t>EUR006M Index</t>
  </si>
  <si>
    <t>LAST PRICE</t>
  </si>
  <si>
    <t>MODIFICHE rispetto al file Bloomberg originale (XCLR.xls):</t>
  </si>
  <si>
    <t>1 x 7</t>
  </si>
  <si>
    <t>2 x 8</t>
  </si>
  <si>
    <t>3 x 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</si>
  <si>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</si>
  <si>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</si>
  <si>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</si>
  <si>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</si>
  <si>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</si>
  <si>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</si>
  <si>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</si>
  <si>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</si>
  <si>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</si>
  <si>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4) Aggiunta del FIXING dell'Euribora 3 M</t>
  </si>
  <si>
    <t>Euribor 3M</t>
  </si>
  <si>
    <t>EUR003M Index</t>
  </si>
  <si>
    <t>Contributor</t>
  </si>
  <si>
    <t>Bucket Tolti:</t>
  </si>
  <si>
    <t>US0003M Index</t>
  </si>
  <si>
    <t>Libor 3M</t>
  </si>
  <si>
    <t>US0006M Index</t>
  </si>
  <si>
    <t>Libor 6M</t>
  </si>
  <si>
    <t>SWAP 3M + Basis</t>
  </si>
  <si>
    <t>-</t>
  </si>
  <si>
    <t>Basis Swap 3 Vs 6</t>
  </si>
  <si>
    <t>1 y</t>
  </si>
  <si>
    <t>USBC1 ICPL curncy</t>
  </si>
  <si>
    <t>2 y</t>
  </si>
  <si>
    <t>USBC2 ICPL curncy</t>
  </si>
  <si>
    <t>3 y</t>
  </si>
  <si>
    <t>USBC3 ICPL curncy</t>
  </si>
  <si>
    <t>4 y</t>
  </si>
  <si>
    <t>USBC4 ICPL curncy</t>
  </si>
  <si>
    <t>5 y</t>
  </si>
  <si>
    <t>USBC5 ICPL curncy</t>
  </si>
  <si>
    <t>6 y</t>
  </si>
  <si>
    <t>USBC6 ICPL curncy</t>
  </si>
  <si>
    <t>7 y</t>
  </si>
  <si>
    <t>USBC7 ICPL curncy</t>
  </si>
  <si>
    <t>8 y</t>
  </si>
  <si>
    <t>USBC8 ICPL curncy</t>
  </si>
  <si>
    <t>9 y</t>
  </si>
  <si>
    <t>USBC9 ICPL curncy</t>
  </si>
  <si>
    <t>10 y</t>
  </si>
  <si>
    <t>USBC10 ICPL curncy</t>
  </si>
  <si>
    <t>12 y</t>
  </si>
  <si>
    <t>USBC12 ICPL curncy</t>
  </si>
  <si>
    <t>15 y</t>
  </si>
  <si>
    <t>USBC15 ICPL curncy</t>
  </si>
  <si>
    <t>20 y</t>
  </si>
  <si>
    <t>USBC20 ICPL curncy</t>
  </si>
  <si>
    <t>25 y</t>
  </si>
  <si>
    <t>USBC25 ICPL curncy</t>
  </si>
  <si>
    <t>30 y</t>
  </si>
  <si>
    <t>USBC30 ICPL curncy</t>
  </si>
  <si>
    <t>BXSW</t>
  </si>
  <si>
    <t>EUR001M Index</t>
  </si>
  <si>
    <t>EUR002M Index</t>
  </si>
  <si>
    <t>EUR004M Index</t>
  </si>
  <si>
    <t>EUR005M Index</t>
  </si>
  <si>
    <t>EUR001W Index</t>
  </si>
  <si>
    <t>Contributor (for Swaps)</t>
  </si>
  <si>
    <t>US0001W Index</t>
  </si>
  <si>
    <t>US0001M Index</t>
  </si>
  <si>
    <t>US0002M Index</t>
  </si>
  <si>
    <t>US0004M Index</t>
  </si>
  <si>
    <t>US0005M Index</t>
  </si>
  <si>
    <t>Currency</t>
  </si>
  <si>
    <t>Ref Date</t>
  </si>
  <si>
    <t>Underlying</t>
  </si>
  <si>
    <t>Step degli strike</t>
  </si>
  <si>
    <t>Yellow Key</t>
  </si>
  <si>
    <t>Comdty</t>
  </si>
  <si>
    <t>Option</t>
  </si>
  <si>
    <t>Spot</t>
  </si>
  <si>
    <t>C</t>
  </si>
  <si>
    <t>Call</t>
  </si>
  <si>
    <t>P</t>
  </si>
  <si>
    <t>Put</t>
  </si>
  <si>
    <t>Expiry</t>
  </si>
  <si>
    <t>Z2</t>
  </si>
  <si>
    <t>H3</t>
  </si>
  <si>
    <t>M3</t>
  </si>
  <si>
    <t>U3</t>
  </si>
  <si>
    <t>Z3</t>
  </si>
  <si>
    <t>H4</t>
  </si>
  <si>
    <t>M4</t>
  </si>
  <si>
    <t>H</t>
  </si>
  <si>
    <t>Marzo</t>
  </si>
  <si>
    <t>M</t>
  </si>
  <si>
    <t>Giugno</t>
  </si>
  <si>
    <t>U</t>
  </si>
  <si>
    <t>Settembre</t>
  </si>
  <si>
    <t>Z</t>
  </si>
  <si>
    <t>Dicembre</t>
  </si>
  <si>
    <t>Legenda:</t>
  </si>
  <si>
    <t>BXSU</t>
  </si>
  <si>
    <t>U4</t>
  </si>
  <si>
    <t>18m</t>
  </si>
  <si>
    <t/>
  </si>
  <si>
    <t>Ticker</t>
  </si>
  <si>
    <t>ERZ2 Comdty</t>
  </si>
  <si>
    <t>ERH3 Comdty</t>
  </si>
  <si>
    <t>ERM3 Comdty</t>
  </si>
  <si>
    <t>ERU3 Comdty</t>
  </si>
  <si>
    <t>ERZ3 Comdty</t>
  </si>
  <si>
    <t>ERH4 Comdty</t>
  </si>
  <si>
    <t>ERM4 Comdty</t>
  </si>
  <si>
    <t>ERU4 Comdty</t>
  </si>
</sst>
</file>

<file path=xl/styles.xml><?xml version="1.0" encoding="utf-8"?>
<styleSheet xmlns="http://schemas.openxmlformats.org/spreadsheetml/2006/main">
  <numFmts count="8">
    <numFmt numFmtId="171" formatCode="_(* #,##0.00_);_(* \(#,##0.00\);_(* &quot;-&quot;??_);_(@_)"/>
    <numFmt numFmtId="179" formatCode="0.00000"/>
    <numFmt numFmtId="182" formatCode="0.000"/>
    <numFmt numFmtId="184" formatCode="0.000%"/>
    <numFmt numFmtId="185" formatCode="0.0000%"/>
    <numFmt numFmtId="186" formatCode="0.0000"/>
    <numFmt numFmtId="195" formatCode="h:mm:ss;@"/>
    <numFmt numFmtId="197" formatCode="_(* #,##0.0000_);_(* \(#,##0.0000\);_(* &quot;-&quot;??_);_(@_)"/>
  </numFmts>
  <fonts count="17">
    <font>
      <sz val="10"/>
      <name val="Calibri"/>
    </font>
    <font>
      <sz val="10"/>
      <name val="Calibri"/>
    </font>
    <font>
      <sz val="8"/>
      <name val="Calibri"/>
    </font>
    <font>
      <b/>
      <sz val="10"/>
      <name val="Calibri"/>
      <family val="2"/>
    </font>
    <font>
      <sz val="10"/>
      <name val="Arial"/>
    </font>
    <font>
      <sz val="10"/>
      <name val="Arial"/>
      <family val="2"/>
    </font>
    <font>
      <sz val="10"/>
      <color indexed="12"/>
      <name val="Arial"/>
      <family val="2"/>
    </font>
    <font>
      <b/>
      <sz val="10"/>
      <color indexed="63"/>
      <name val="Calibri"/>
      <family val="2"/>
    </font>
    <font>
      <sz val="10"/>
      <color indexed="63"/>
      <name val="Calibri"/>
    </font>
    <font>
      <sz val="10"/>
      <color indexed="23"/>
      <name val="Calibri"/>
    </font>
    <font>
      <sz val="10"/>
      <color indexed="9"/>
      <name val="Calibri"/>
    </font>
    <font>
      <sz val="10"/>
      <color indexed="10"/>
      <name val="Calibri"/>
    </font>
    <font>
      <b/>
      <sz val="10"/>
      <name val="Calibri"/>
    </font>
    <font>
      <b/>
      <sz val="10"/>
      <color indexed="22"/>
      <name val="Calibri"/>
    </font>
    <font>
      <b/>
      <sz val="8"/>
      <color indexed="81"/>
      <name val="Tahoma"/>
    </font>
    <font>
      <sz val="8"/>
      <color indexed="81"/>
      <name val="Tahoma"/>
    </font>
    <font>
      <sz val="1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53"/>
        <bgColor indexed="64"/>
      </patternFill>
    </fill>
  </fills>
  <borders count="5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/>
      <top style="thin">
        <color indexed="23"/>
      </top>
      <bottom/>
      <diagonal/>
    </border>
    <border>
      <left style="thin">
        <color indexed="55"/>
      </left>
      <right/>
      <top style="thin">
        <color indexed="55"/>
      </top>
      <bottom/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n">
        <color indexed="23"/>
      </left>
      <right/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 style="thin">
        <color indexed="55"/>
      </right>
      <top/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23"/>
      </top>
      <bottom/>
      <diagonal/>
    </border>
    <border>
      <left/>
      <right style="thin">
        <color indexed="23"/>
      </right>
      <top/>
      <bottom/>
      <diagonal/>
    </border>
    <border>
      <left style="thin">
        <color indexed="55"/>
      </left>
      <right/>
      <top/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/>
      <diagonal/>
    </border>
    <border>
      <left/>
      <right style="thin">
        <color indexed="55"/>
      </right>
      <top/>
      <bottom style="thin">
        <color indexed="23"/>
      </bottom>
      <diagonal/>
    </border>
    <border>
      <left/>
      <right style="thin">
        <color indexed="55"/>
      </right>
      <top style="thin">
        <color indexed="23"/>
      </top>
      <bottom/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23"/>
      </top>
      <bottom style="thin">
        <color indexed="55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0" fontId="4" fillId="2" borderId="0" applyNumberFormat="0"/>
    <xf numFmtId="0" fontId="5" fillId="4" borderId="0" applyNumberFormat="0"/>
    <xf numFmtId="15" fontId="6" fillId="2" borderId="0" applyNumberFormat="0"/>
    <xf numFmtId="171" fontId="1" fillId="0" borderId="0" applyFont="0" applyFill="0" applyBorder="0" applyAlignment="0" applyProtection="0"/>
    <xf numFmtId="0" fontId="1" fillId="0" borderId="0"/>
    <xf numFmtId="0" fontId="7" fillId="3" borderId="2" applyNumberFormat="0" applyAlignment="0" applyProtection="0"/>
  </cellStyleXfs>
  <cellXfs count="316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Fill="1" applyBorder="1"/>
    <xf numFmtId="0" fontId="9" fillId="0" borderId="0" xfId="0" applyFont="1" applyAlignment="1">
      <alignment horizontal="center"/>
    </xf>
    <xf numFmtId="0" fontId="0" fillId="0" borderId="0" xfId="0" applyBorder="1"/>
    <xf numFmtId="0" fontId="9" fillId="0" borderId="0" xfId="0" applyFont="1"/>
    <xf numFmtId="0" fontId="9" fillId="0" borderId="0" xfId="0" quotePrefix="1" applyFont="1" applyAlignment="1">
      <alignment horizontal="center"/>
    </xf>
    <xf numFmtId="0" fontId="9" fillId="0" borderId="0" xfId="0" quotePrefix="1" applyFont="1"/>
    <xf numFmtId="0" fontId="9" fillId="0" borderId="0" xfId="0" applyFont="1" applyFill="1" applyBorder="1"/>
    <xf numFmtId="0" fontId="3" fillId="0" borderId="3" xfId="0" applyFont="1" applyBorder="1"/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9" fillId="0" borderId="6" xfId="0" applyFont="1" applyBorder="1" applyAlignment="1">
      <alignment horizontal="right"/>
    </xf>
    <xf numFmtId="0" fontId="9" fillId="0" borderId="7" xfId="0" applyFont="1" applyBorder="1" applyAlignment="1">
      <alignment horizontal="right"/>
    </xf>
    <xf numFmtId="0" fontId="9" fillId="0" borderId="0" xfId="0" applyFont="1" applyBorder="1" applyAlignment="1">
      <alignment horizontal="right"/>
    </xf>
    <xf numFmtId="14" fontId="0" fillId="0" borderId="8" xfId="0" applyNumberFormat="1" applyBorder="1" applyAlignment="1">
      <alignment horizontal="center"/>
    </xf>
    <xf numFmtId="0" fontId="3" fillId="0" borderId="0" xfId="0" applyFont="1" applyAlignment="1">
      <alignment horizontal="left"/>
    </xf>
    <xf numFmtId="0" fontId="11" fillId="0" borderId="0" xfId="0" applyFont="1"/>
    <xf numFmtId="0" fontId="9" fillId="5" borderId="9" xfId="0" applyFont="1" applyFill="1" applyBorder="1" applyAlignment="1">
      <alignment horizontal="left"/>
    </xf>
    <xf numFmtId="0" fontId="9" fillId="5" borderId="5" xfId="0" applyFont="1" applyFill="1" applyBorder="1" applyAlignment="1">
      <alignment horizontal="left"/>
    </xf>
    <xf numFmtId="185" fontId="9" fillId="5" borderId="5" xfId="0" applyNumberFormat="1" applyFont="1" applyFill="1" applyBorder="1" applyAlignment="1">
      <alignment horizontal="center"/>
    </xf>
    <xf numFmtId="0" fontId="9" fillId="5" borderId="5" xfId="0" applyFont="1" applyFill="1" applyBorder="1" applyAlignment="1">
      <alignment horizontal="center"/>
    </xf>
    <xf numFmtId="0" fontId="9" fillId="5" borderId="10" xfId="0" applyFont="1" applyFill="1" applyBorder="1" applyAlignment="1">
      <alignment horizontal="left"/>
    </xf>
    <xf numFmtId="0" fontId="9" fillId="5" borderId="0" xfId="0" applyFont="1" applyFill="1" applyBorder="1" applyAlignment="1">
      <alignment horizontal="left"/>
    </xf>
    <xf numFmtId="185" fontId="9" fillId="5" borderId="0" xfId="0" applyNumberFormat="1" applyFont="1" applyFill="1" applyBorder="1" applyAlignment="1">
      <alignment horizontal="center"/>
    </xf>
    <xf numFmtId="0" fontId="9" fillId="5" borderId="0" xfId="0" applyFont="1" applyFill="1" applyBorder="1" applyAlignment="1">
      <alignment horizontal="center"/>
    </xf>
    <xf numFmtId="0" fontId="9" fillId="5" borderId="11" xfId="0" applyFont="1" applyFill="1" applyBorder="1" applyAlignment="1">
      <alignment horizontal="left"/>
    </xf>
    <xf numFmtId="0" fontId="9" fillId="5" borderId="12" xfId="0" applyFont="1" applyFill="1" applyBorder="1" applyAlignment="1">
      <alignment horizontal="left"/>
    </xf>
    <xf numFmtId="185" fontId="9" fillId="5" borderId="12" xfId="0" applyNumberFormat="1" applyFont="1" applyFill="1" applyBorder="1" applyAlignment="1">
      <alignment horizontal="center"/>
    </xf>
    <xf numFmtId="0" fontId="9" fillId="5" borderId="12" xfId="0" applyFont="1" applyFill="1" applyBorder="1" applyAlignment="1">
      <alignment horizontal="center"/>
    </xf>
    <xf numFmtId="0" fontId="9" fillId="6" borderId="5" xfId="0" applyFont="1" applyFill="1" applyBorder="1" applyAlignment="1">
      <alignment horizontal="left"/>
    </xf>
    <xf numFmtId="185" fontId="9" fillId="6" borderId="5" xfId="0" applyNumberFormat="1" applyFont="1" applyFill="1" applyBorder="1" applyAlignment="1">
      <alignment horizontal="center"/>
    </xf>
    <xf numFmtId="0" fontId="9" fillId="6" borderId="0" xfId="0" applyFont="1" applyFill="1" applyBorder="1" applyAlignment="1">
      <alignment horizontal="left"/>
    </xf>
    <xf numFmtId="185" fontId="9" fillId="6" borderId="0" xfId="0" applyNumberFormat="1" applyFont="1" applyFill="1" applyBorder="1" applyAlignment="1">
      <alignment horizontal="center"/>
    </xf>
    <xf numFmtId="0" fontId="9" fillId="6" borderId="0" xfId="0" applyFont="1" applyFill="1" applyBorder="1" applyAlignment="1">
      <alignment horizontal="center"/>
    </xf>
    <xf numFmtId="0" fontId="9" fillId="6" borderId="12" xfId="0" applyFont="1" applyFill="1" applyBorder="1" applyAlignment="1">
      <alignment horizontal="left"/>
    </xf>
    <xf numFmtId="185" fontId="9" fillId="6" borderId="12" xfId="0" applyNumberFormat="1" applyFont="1" applyFill="1" applyBorder="1" applyAlignment="1">
      <alignment horizontal="center"/>
    </xf>
    <xf numFmtId="0" fontId="9" fillId="6" borderId="12" xfId="0" applyFont="1" applyFill="1" applyBorder="1" applyAlignment="1">
      <alignment horizontal="center"/>
    </xf>
    <xf numFmtId="0" fontId="9" fillId="4" borderId="9" xfId="0" applyFont="1" applyFill="1" applyBorder="1" applyAlignment="1">
      <alignment horizontal="left"/>
    </xf>
    <xf numFmtId="0" fontId="9" fillId="4" borderId="5" xfId="0" applyFont="1" applyFill="1" applyBorder="1" applyAlignment="1">
      <alignment horizontal="left"/>
    </xf>
    <xf numFmtId="185" fontId="9" fillId="4" borderId="5" xfId="0" applyNumberFormat="1" applyFont="1" applyFill="1" applyBorder="1" applyAlignment="1">
      <alignment horizontal="center"/>
    </xf>
    <xf numFmtId="0" fontId="9" fillId="4" borderId="5" xfId="0" applyFont="1" applyFill="1" applyBorder="1" applyAlignment="1">
      <alignment horizontal="center"/>
    </xf>
    <xf numFmtId="0" fontId="9" fillId="4" borderId="10" xfId="0" applyFont="1" applyFill="1" applyBorder="1" applyAlignment="1">
      <alignment horizontal="left"/>
    </xf>
    <xf numFmtId="0" fontId="9" fillId="4" borderId="0" xfId="0" applyFont="1" applyFill="1" applyBorder="1" applyAlignment="1">
      <alignment horizontal="left"/>
    </xf>
    <xf numFmtId="185" fontId="9" fillId="4" borderId="0" xfId="0" applyNumberFormat="1" applyFont="1" applyFill="1" applyBorder="1" applyAlignment="1">
      <alignment horizontal="center"/>
    </xf>
    <xf numFmtId="0" fontId="9" fillId="4" borderId="0" xfId="0" applyFont="1" applyFill="1" applyBorder="1" applyAlignment="1">
      <alignment horizontal="center"/>
    </xf>
    <xf numFmtId="0" fontId="9" fillId="4" borderId="11" xfId="0" applyFont="1" applyFill="1" applyBorder="1" applyAlignment="1">
      <alignment horizontal="left"/>
    </xf>
    <xf numFmtId="0" fontId="9" fillId="4" borderId="12" xfId="0" applyFont="1" applyFill="1" applyBorder="1" applyAlignment="1">
      <alignment horizontal="left"/>
    </xf>
    <xf numFmtId="185" fontId="9" fillId="4" borderId="12" xfId="0" applyNumberFormat="1" applyFont="1" applyFill="1" applyBorder="1" applyAlignment="1">
      <alignment horizontal="center"/>
    </xf>
    <xf numFmtId="0" fontId="9" fillId="4" borderId="12" xfId="0" applyFont="1" applyFill="1" applyBorder="1" applyAlignment="1">
      <alignment horizontal="center"/>
    </xf>
    <xf numFmtId="0" fontId="0" fillId="0" borderId="12" xfId="0" applyBorder="1"/>
    <xf numFmtId="14" fontId="9" fillId="6" borderId="0" xfId="0" applyNumberFormat="1" applyFont="1" applyFill="1" applyBorder="1" applyAlignment="1">
      <alignment horizontal="center"/>
    </xf>
    <xf numFmtId="14" fontId="9" fillId="6" borderId="12" xfId="0" applyNumberFormat="1" applyFont="1" applyFill="1" applyBorder="1" applyAlignment="1">
      <alignment horizontal="center"/>
    </xf>
    <xf numFmtId="0" fontId="3" fillId="7" borderId="3" xfId="0" applyFont="1" applyFill="1" applyBorder="1"/>
    <xf numFmtId="0" fontId="0" fillId="7" borderId="4" xfId="0" applyFill="1" applyBorder="1"/>
    <xf numFmtId="0" fontId="0" fillId="7" borderId="4" xfId="0" applyFill="1" applyBorder="1" applyAlignment="1">
      <alignment horizontal="center"/>
    </xf>
    <xf numFmtId="0" fontId="0" fillId="7" borderId="13" xfId="0" applyFill="1" applyBorder="1"/>
    <xf numFmtId="0" fontId="3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left"/>
    </xf>
    <xf numFmtId="0" fontId="0" fillId="8" borderId="0" xfId="0" applyFill="1"/>
    <xf numFmtId="14" fontId="9" fillId="4" borderId="5" xfId="0" applyNumberFormat="1" applyFont="1" applyFill="1" applyBorder="1" applyAlignment="1">
      <alignment horizontal="center"/>
    </xf>
    <xf numFmtId="14" fontId="9" fillId="5" borderId="5" xfId="0" applyNumberFormat="1" applyFont="1" applyFill="1" applyBorder="1" applyAlignment="1">
      <alignment horizontal="center"/>
    </xf>
    <xf numFmtId="14" fontId="9" fillId="5" borderId="0" xfId="0" applyNumberFormat="1" applyFont="1" applyFill="1" applyBorder="1" applyAlignment="1">
      <alignment horizontal="center"/>
    </xf>
    <xf numFmtId="14" fontId="9" fillId="5" borderId="12" xfId="0" applyNumberFormat="1" applyFont="1" applyFill="1" applyBorder="1" applyAlignment="1">
      <alignment horizontal="center"/>
    </xf>
    <xf numFmtId="14" fontId="9" fillId="4" borderId="0" xfId="0" applyNumberFormat="1" applyFont="1" applyFill="1" applyBorder="1" applyAlignment="1">
      <alignment horizontal="center"/>
    </xf>
    <xf numFmtId="14" fontId="9" fillId="4" borderId="12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9" fillId="0" borderId="15" xfId="0" applyFont="1" applyFill="1" applyBorder="1" applyAlignment="1">
      <alignment horizontal="right"/>
    </xf>
    <xf numFmtId="0" fontId="9" fillId="0" borderId="16" xfId="0" applyFont="1" applyFill="1" applyBorder="1" applyAlignment="1">
      <alignment horizontal="right"/>
    </xf>
    <xf numFmtId="0" fontId="9" fillId="0" borderId="17" xfId="0" applyFont="1" applyFill="1" applyBorder="1" applyAlignment="1">
      <alignment horizontal="center"/>
    </xf>
    <xf numFmtId="179" fontId="8" fillId="9" borderId="18" xfId="0" applyNumberFormat="1" applyFont="1" applyFill="1" applyBorder="1" applyAlignment="1" applyProtection="1">
      <alignment horizontal="center"/>
      <protection locked="0"/>
    </xf>
    <xf numFmtId="0" fontId="7" fillId="9" borderId="1" xfId="0" applyFont="1" applyFill="1" applyBorder="1" applyAlignment="1" applyProtection="1">
      <alignment horizontal="center"/>
      <protection locked="0"/>
    </xf>
    <xf numFmtId="14" fontId="0" fillId="0" borderId="14" xfId="0" applyNumberFormat="1" applyBorder="1" applyAlignment="1">
      <alignment horizontal="center"/>
    </xf>
    <xf numFmtId="0" fontId="0" fillId="0" borderId="0" xfId="0" applyProtection="1">
      <protection hidden="1"/>
    </xf>
    <xf numFmtId="184" fontId="9" fillId="0" borderId="0" xfId="0" applyNumberFormat="1" applyFont="1" applyFill="1" applyBorder="1" applyAlignment="1">
      <alignment horizontal="center"/>
    </xf>
    <xf numFmtId="179" fontId="8" fillId="9" borderId="19" xfId="0" applyNumberFormat="1" applyFont="1" applyFill="1" applyBorder="1" applyAlignment="1" applyProtection="1">
      <alignment horizontal="center"/>
      <protection locked="0"/>
    </xf>
    <xf numFmtId="0" fontId="9" fillId="4" borderId="20" xfId="0" applyFont="1" applyFill="1" applyBorder="1" applyAlignment="1">
      <alignment horizontal="center"/>
    </xf>
    <xf numFmtId="0" fontId="9" fillId="4" borderId="7" xfId="0" applyFont="1" applyFill="1" applyBorder="1" applyAlignment="1">
      <alignment horizontal="center"/>
    </xf>
    <xf numFmtId="14" fontId="0" fillId="4" borderId="21" xfId="0" applyNumberFormat="1" applyFill="1" applyBorder="1" applyAlignment="1">
      <alignment horizontal="center"/>
    </xf>
    <xf numFmtId="0" fontId="9" fillId="4" borderId="22" xfId="0" applyFont="1" applyFill="1" applyBorder="1" applyAlignment="1">
      <alignment horizontal="center"/>
    </xf>
    <xf numFmtId="14" fontId="0" fillId="4" borderId="23" xfId="0" applyNumberFormat="1" applyFill="1" applyBorder="1" applyAlignment="1">
      <alignment horizontal="center"/>
    </xf>
    <xf numFmtId="14" fontId="0" fillId="4" borderId="24" xfId="0" applyNumberForma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3" fillId="0" borderId="23" xfId="0" applyFont="1" applyBorder="1" applyAlignment="1">
      <alignment horizontal="center"/>
    </xf>
    <xf numFmtId="0" fontId="3" fillId="0" borderId="3" xfId="0" applyFont="1" applyBorder="1" applyAlignment="1">
      <alignment horizontal="right"/>
    </xf>
    <xf numFmtId="0" fontId="0" fillId="0" borderId="0" xfId="0" applyFill="1"/>
    <xf numFmtId="14" fontId="0" fillId="0" borderId="0" xfId="0" applyNumberFormat="1" applyFill="1" applyBorder="1" applyAlignment="1">
      <alignment horizontal="center"/>
    </xf>
    <xf numFmtId="0" fontId="0" fillId="0" borderId="10" xfId="0" applyFill="1" applyBorder="1"/>
    <xf numFmtId="0" fontId="3" fillId="0" borderId="10" xfId="0" applyFont="1" applyFill="1" applyBorder="1" applyAlignment="1">
      <alignment horizontal="center"/>
    </xf>
    <xf numFmtId="184" fontId="9" fillId="0" borderId="10" xfId="0" applyNumberFormat="1" applyFont="1" applyFill="1" applyBorder="1" applyAlignment="1">
      <alignment horizontal="center"/>
    </xf>
    <xf numFmtId="179" fontId="8" fillId="9" borderId="25" xfId="0" applyNumberFormat="1" applyFont="1" applyFill="1" applyBorder="1" applyAlignment="1" applyProtection="1">
      <alignment horizontal="center"/>
      <protection locked="0"/>
    </xf>
    <xf numFmtId="14" fontId="0" fillId="6" borderId="21" xfId="0" applyNumberFormat="1" applyFill="1" applyBorder="1" applyAlignment="1">
      <alignment horizontal="center"/>
    </xf>
    <xf numFmtId="14" fontId="0" fillId="5" borderId="23" xfId="0" applyNumberFormat="1" applyFill="1" applyBorder="1" applyAlignment="1">
      <alignment horizontal="center"/>
    </xf>
    <xf numFmtId="14" fontId="0" fillId="5" borderId="21" xfId="0" applyNumberFormat="1" applyFill="1" applyBorder="1" applyAlignment="1">
      <alignment horizontal="center"/>
    </xf>
    <xf numFmtId="14" fontId="0" fillId="5" borderId="24" xfId="0" applyNumberFormat="1" applyFill="1" applyBorder="1" applyAlignment="1">
      <alignment horizontal="center"/>
    </xf>
    <xf numFmtId="0" fontId="13" fillId="8" borderId="0" xfId="0" applyFont="1" applyFill="1" applyAlignment="1">
      <alignment horizontal="center"/>
    </xf>
    <xf numFmtId="0" fontId="0" fillId="0" borderId="13" xfId="0" applyBorder="1" applyAlignment="1">
      <alignment horizontal="right"/>
    </xf>
    <xf numFmtId="179" fontId="8" fillId="9" borderId="26" xfId="0" applyNumberFormat="1" applyFont="1" applyFill="1" applyBorder="1" applyAlignment="1" applyProtection="1">
      <alignment horizontal="center"/>
      <protection locked="0"/>
    </xf>
    <xf numFmtId="185" fontId="9" fillId="4" borderId="27" xfId="0" applyNumberFormat="1" applyFont="1" applyFill="1" applyBorder="1" applyAlignment="1">
      <alignment horizontal="center"/>
    </xf>
    <xf numFmtId="0" fontId="9" fillId="10" borderId="0" xfId="0" applyFont="1" applyFill="1" applyBorder="1" applyAlignment="1">
      <alignment horizontal="center"/>
    </xf>
    <xf numFmtId="14" fontId="0" fillId="10" borderId="21" xfId="0" applyNumberFormat="1" applyFill="1" applyBorder="1" applyAlignment="1">
      <alignment horizontal="center"/>
    </xf>
    <xf numFmtId="0" fontId="9" fillId="10" borderId="5" xfId="0" applyFont="1" applyFill="1" applyBorder="1" applyAlignment="1">
      <alignment horizontal="center"/>
    </xf>
    <xf numFmtId="14" fontId="0" fillId="10" borderId="23" xfId="0" applyNumberFormat="1" applyFill="1" applyBorder="1" applyAlignment="1">
      <alignment horizontal="center"/>
    </xf>
    <xf numFmtId="0" fontId="9" fillId="10" borderId="12" xfId="0" applyFont="1" applyFill="1" applyBorder="1" applyAlignment="1">
      <alignment horizontal="center"/>
    </xf>
    <xf numFmtId="14" fontId="0" fillId="10" borderId="24" xfId="0" applyNumberFormat="1" applyFill="1" applyBorder="1" applyAlignment="1">
      <alignment horizontal="center"/>
    </xf>
    <xf numFmtId="0" fontId="9" fillId="10" borderId="5" xfId="0" applyFont="1" applyFill="1" applyBorder="1" applyAlignment="1">
      <alignment horizontal="left"/>
    </xf>
    <xf numFmtId="185" fontId="9" fillId="10" borderId="5" xfId="0" applyNumberFormat="1" applyFont="1" applyFill="1" applyBorder="1" applyAlignment="1">
      <alignment horizontal="center"/>
    </xf>
    <xf numFmtId="14" fontId="9" fillId="10" borderId="5" xfId="0" applyNumberFormat="1" applyFont="1" applyFill="1" applyBorder="1" applyAlignment="1">
      <alignment horizontal="center"/>
    </xf>
    <xf numFmtId="0" fontId="9" fillId="10" borderId="0" xfId="0" applyFont="1" applyFill="1" applyBorder="1" applyAlignment="1">
      <alignment horizontal="left"/>
    </xf>
    <xf numFmtId="185" fontId="9" fillId="10" borderId="0" xfId="0" applyNumberFormat="1" applyFont="1" applyFill="1" applyBorder="1" applyAlignment="1">
      <alignment horizontal="center"/>
    </xf>
    <xf numFmtId="14" fontId="9" fillId="10" borderId="0" xfId="0" applyNumberFormat="1" applyFont="1" applyFill="1" applyBorder="1" applyAlignment="1">
      <alignment horizontal="center"/>
    </xf>
    <xf numFmtId="0" fontId="9" fillId="10" borderId="12" xfId="0" applyFont="1" applyFill="1" applyBorder="1" applyAlignment="1">
      <alignment horizontal="left"/>
    </xf>
    <xf numFmtId="185" fontId="9" fillId="10" borderId="12" xfId="0" applyNumberFormat="1" applyFont="1" applyFill="1" applyBorder="1" applyAlignment="1">
      <alignment horizontal="center"/>
    </xf>
    <xf numFmtId="14" fontId="9" fillId="10" borderId="12" xfId="0" applyNumberFormat="1" applyFont="1" applyFill="1" applyBorder="1" applyAlignment="1">
      <alignment horizontal="center"/>
    </xf>
    <xf numFmtId="0" fontId="1" fillId="0" borderId="0" xfId="0" applyFont="1"/>
    <xf numFmtId="0" fontId="1" fillId="0" borderId="0" xfId="0" applyFont="1" applyFill="1" applyBorder="1" applyAlignment="1">
      <alignment horizontal="left"/>
    </xf>
    <xf numFmtId="0" fontId="12" fillId="0" borderId="0" xfId="0" applyFont="1"/>
    <xf numFmtId="0" fontId="3" fillId="0" borderId="0" xfId="0" applyFont="1" applyAlignment="1">
      <alignment horizontal="center"/>
    </xf>
    <xf numFmtId="0" fontId="1" fillId="0" borderId="0" xfId="5"/>
    <xf numFmtId="0" fontId="1" fillId="0" borderId="0" xfId="5" applyBorder="1"/>
    <xf numFmtId="0" fontId="1" fillId="0" borderId="0" xfId="5" applyAlignment="1">
      <alignment horizontal="center"/>
    </xf>
    <xf numFmtId="0" fontId="1" fillId="0" borderId="0" xfId="5" applyFill="1" applyBorder="1"/>
    <xf numFmtId="0" fontId="11" fillId="0" borderId="0" xfId="5" applyFont="1"/>
    <xf numFmtId="0" fontId="9" fillId="0" borderId="0" xfId="5" applyFont="1"/>
    <xf numFmtId="0" fontId="9" fillId="0" borderId="0" xfId="5" applyFont="1" applyAlignment="1">
      <alignment horizontal="center"/>
    </xf>
    <xf numFmtId="0" fontId="1" fillId="0" borderId="12" xfId="5" applyBorder="1"/>
    <xf numFmtId="0" fontId="3" fillId="0" borderId="0" xfId="5" applyFont="1" applyAlignment="1">
      <alignment horizontal="left"/>
    </xf>
    <xf numFmtId="14" fontId="1" fillId="0" borderId="0" xfId="5" applyNumberFormat="1" applyAlignment="1">
      <alignment horizontal="center"/>
    </xf>
    <xf numFmtId="0" fontId="9" fillId="0" borderId="0" xfId="5" applyFont="1" applyFill="1" applyBorder="1"/>
    <xf numFmtId="0" fontId="3" fillId="0" borderId="3" xfId="5" applyFont="1" applyBorder="1" applyAlignment="1">
      <alignment horizontal="right"/>
    </xf>
    <xf numFmtId="0" fontId="1" fillId="0" borderId="13" xfId="5" applyBorder="1" applyAlignment="1">
      <alignment horizontal="right"/>
    </xf>
    <xf numFmtId="0" fontId="7" fillId="9" borderId="1" xfId="5" applyFont="1" applyFill="1" applyBorder="1" applyAlignment="1" applyProtection="1">
      <alignment horizontal="center"/>
      <protection locked="0"/>
    </xf>
    <xf numFmtId="0" fontId="9" fillId="0" borderId="6" xfId="5" applyFont="1" applyBorder="1" applyAlignment="1">
      <alignment horizontal="right"/>
    </xf>
    <xf numFmtId="14" fontId="1" fillId="0" borderId="8" xfId="5" applyNumberFormat="1" applyBorder="1" applyAlignment="1">
      <alignment horizontal="center"/>
    </xf>
    <xf numFmtId="0" fontId="1" fillId="0" borderId="8" xfId="5" applyBorder="1" applyAlignment="1">
      <alignment horizontal="center"/>
    </xf>
    <xf numFmtId="0" fontId="9" fillId="0" borderId="0" xfId="5" quotePrefix="1" applyFont="1" applyAlignment="1">
      <alignment horizontal="center"/>
    </xf>
    <xf numFmtId="0" fontId="9" fillId="0" borderId="7" xfId="5" applyFont="1" applyBorder="1" applyAlignment="1">
      <alignment horizontal="right"/>
    </xf>
    <xf numFmtId="14" fontId="1" fillId="0" borderId="14" xfId="5" applyNumberFormat="1" applyBorder="1" applyAlignment="1">
      <alignment horizontal="center"/>
    </xf>
    <xf numFmtId="0" fontId="1" fillId="0" borderId="14" xfId="5" applyBorder="1" applyAlignment="1">
      <alignment horizontal="center"/>
    </xf>
    <xf numFmtId="0" fontId="9" fillId="0" borderId="0" xfId="5" quotePrefix="1" applyFont="1"/>
    <xf numFmtId="0" fontId="1" fillId="0" borderId="0" xfId="5" applyProtection="1">
      <protection hidden="1"/>
    </xf>
    <xf numFmtId="0" fontId="13" fillId="8" borderId="0" xfId="5" applyFont="1" applyFill="1" applyAlignment="1">
      <alignment horizontal="center"/>
    </xf>
    <xf numFmtId="0" fontId="9" fillId="0" borderId="14" xfId="5" applyFont="1" applyBorder="1" applyAlignment="1">
      <alignment horizontal="center"/>
    </xf>
    <xf numFmtId="0" fontId="9" fillId="0" borderId="15" xfId="5" applyFont="1" applyFill="1" applyBorder="1" applyAlignment="1">
      <alignment horizontal="right"/>
    </xf>
    <xf numFmtId="0" fontId="9" fillId="0" borderId="17" xfId="5" applyFont="1" applyFill="1" applyBorder="1" applyAlignment="1">
      <alignment horizontal="center"/>
    </xf>
    <xf numFmtId="0" fontId="1" fillId="8" borderId="0" xfId="5" applyFill="1"/>
    <xf numFmtId="0" fontId="3" fillId="0" borderId="0" xfId="5" applyFont="1" applyBorder="1" applyAlignment="1">
      <alignment horizontal="left" vertical="center" wrapText="1"/>
    </xf>
    <xf numFmtId="0" fontId="1" fillId="0" borderId="0" xfId="5" applyBorder="1" applyAlignment="1">
      <alignment horizontal="left"/>
    </xf>
    <xf numFmtId="0" fontId="3" fillId="7" borderId="3" xfId="5" applyFont="1" applyFill="1" applyBorder="1"/>
    <xf numFmtId="0" fontId="1" fillId="7" borderId="4" xfId="5" applyFill="1" applyBorder="1"/>
    <xf numFmtId="0" fontId="1" fillId="7" borderId="4" xfId="5" applyFill="1" applyBorder="1" applyAlignment="1">
      <alignment horizontal="center"/>
    </xf>
    <xf numFmtId="0" fontId="1" fillId="0" borderId="10" xfId="5" applyFill="1" applyBorder="1"/>
    <xf numFmtId="0" fontId="3" fillId="0" borderId="3" xfId="5" applyFont="1" applyBorder="1"/>
    <xf numFmtId="0" fontId="3" fillId="0" borderId="4" xfId="5" applyFont="1" applyBorder="1" applyAlignment="1">
      <alignment horizontal="center"/>
    </xf>
    <xf numFmtId="0" fontId="3" fillId="0" borderId="5" xfId="5" applyFont="1" applyBorder="1" applyAlignment="1">
      <alignment horizontal="center"/>
    </xf>
    <xf numFmtId="0" fontId="3" fillId="0" borderId="10" xfId="5" applyFont="1" applyFill="1" applyBorder="1" applyAlignment="1">
      <alignment horizontal="center"/>
    </xf>
    <xf numFmtId="0" fontId="9" fillId="5" borderId="9" xfId="5" applyFont="1" applyFill="1" applyBorder="1" applyAlignment="1">
      <alignment horizontal="left"/>
    </xf>
    <xf numFmtId="0" fontId="9" fillId="5" borderId="5" xfId="5" applyFont="1" applyFill="1" applyBorder="1" applyAlignment="1">
      <alignment horizontal="left"/>
    </xf>
    <xf numFmtId="185" fontId="9" fillId="5" borderId="5" xfId="5" applyNumberFormat="1" applyFont="1" applyFill="1" applyBorder="1" applyAlignment="1">
      <alignment horizontal="center"/>
    </xf>
    <xf numFmtId="179" fontId="8" fillId="9" borderId="26" xfId="5" applyNumberFormat="1" applyFont="1" applyFill="1" applyBorder="1" applyAlignment="1" applyProtection="1">
      <alignment horizontal="center"/>
      <protection locked="0"/>
    </xf>
    <xf numFmtId="0" fontId="9" fillId="5" borderId="5" xfId="5" applyFont="1" applyFill="1" applyBorder="1" applyAlignment="1">
      <alignment horizontal="center"/>
    </xf>
    <xf numFmtId="14" fontId="9" fillId="5" borderId="5" xfId="5" applyNumberFormat="1" applyFont="1" applyFill="1" applyBorder="1" applyAlignment="1">
      <alignment horizontal="center"/>
    </xf>
    <xf numFmtId="14" fontId="1" fillId="5" borderId="23" xfId="5" applyNumberFormat="1" applyFill="1" applyBorder="1" applyAlignment="1">
      <alignment horizontal="center"/>
    </xf>
    <xf numFmtId="184" fontId="9" fillId="0" borderId="10" xfId="5" applyNumberFormat="1" applyFont="1" applyFill="1" applyBorder="1" applyAlignment="1">
      <alignment horizontal="center"/>
    </xf>
    <xf numFmtId="0" fontId="9" fillId="5" borderId="10" xfId="5" applyFont="1" applyFill="1" applyBorder="1" applyAlignment="1">
      <alignment horizontal="left"/>
    </xf>
    <xf numFmtId="0" fontId="9" fillId="5" borderId="0" xfId="5" applyFont="1" applyFill="1" applyBorder="1" applyAlignment="1">
      <alignment horizontal="left"/>
    </xf>
    <xf numFmtId="185" fontId="9" fillId="5" borderId="0" xfId="5" applyNumberFormat="1" applyFont="1" applyFill="1" applyBorder="1" applyAlignment="1">
      <alignment horizontal="center"/>
    </xf>
    <xf numFmtId="179" fontId="8" fillId="9" borderId="19" xfId="5" applyNumberFormat="1" applyFont="1" applyFill="1" applyBorder="1" applyAlignment="1" applyProtection="1">
      <alignment horizontal="center"/>
      <protection locked="0"/>
    </xf>
    <xf numFmtId="0" fontId="9" fillId="5" borderId="0" xfId="5" applyFont="1" applyFill="1" applyBorder="1" applyAlignment="1">
      <alignment horizontal="center"/>
    </xf>
    <xf numFmtId="14" fontId="9" fillId="5" borderId="0" xfId="5" applyNumberFormat="1" applyFont="1" applyFill="1" applyBorder="1" applyAlignment="1">
      <alignment horizontal="center"/>
    </xf>
    <xf numFmtId="14" fontId="1" fillId="5" borderId="21" xfId="5" applyNumberFormat="1" applyFill="1" applyBorder="1" applyAlignment="1">
      <alignment horizontal="center"/>
    </xf>
    <xf numFmtId="179" fontId="8" fillId="9" borderId="18" xfId="5" applyNumberFormat="1" applyFont="1" applyFill="1" applyBorder="1" applyAlignment="1" applyProtection="1">
      <alignment horizontal="center"/>
      <protection locked="0"/>
    </xf>
    <xf numFmtId="179" fontId="8" fillId="9" borderId="25" xfId="5" applyNumberFormat="1" applyFont="1" applyFill="1" applyBorder="1" applyAlignment="1" applyProtection="1">
      <alignment horizontal="center"/>
      <protection locked="0"/>
    </xf>
    <xf numFmtId="184" fontId="9" fillId="0" borderId="0" xfId="5" applyNumberFormat="1" applyFont="1" applyFill="1" applyBorder="1" applyAlignment="1">
      <alignment horizontal="center"/>
    </xf>
    <xf numFmtId="0" fontId="9" fillId="5" borderId="11" xfId="5" applyFont="1" applyFill="1" applyBorder="1" applyAlignment="1">
      <alignment horizontal="left"/>
    </xf>
    <xf numFmtId="0" fontId="9" fillId="5" borderId="12" xfId="5" applyFont="1" applyFill="1" applyBorder="1" applyAlignment="1">
      <alignment horizontal="left"/>
    </xf>
    <xf numFmtId="185" fontId="9" fillId="5" borderId="12" xfId="5" applyNumberFormat="1" applyFont="1" applyFill="1" applyBorder="1" applyAlignment="1">
      <alignment horizontal="center"/>
    </xf>
    <xf numFmtId="0" fontId="9" fillId="5" borderId="12" xfId="5" applyFont="1" applyFill="1" applyBorder="1" applyAlignment="1">
      <alignment horizontal="center"/>
    </xf>
    <xf numFmtId="14" fontId="9" fillId="5" borderId="12" xfId="5" applyNumberFormat="1" applyFont="1" applyFill="1" applyBorder="1" applyAlignment="1">
      <alignment horizontal="center"/>
    </xf>
    <xf numFmtId="14" fontId="1" fillId="5" borderId="24" xfId="5" applyNumberFormat="1" applyFill="1" applyBorder="1" applyAlignment="1">
      <alignment horizontal="center"/>
    </xf>
    <xf numFmtId="0" fontId="9" fillId="10" borderId="5" xfId="5" applyFont="1" applyFill="1" applyBorder="1" applyAlignment="1">
      <alignment horizontal="left"/>
    </xf>
    <xf numFmtId="185" fontId="9" fillId="10" borderId="5" xfId="5" applyNumberFormat="1" applyFont="1" applyFill="1" applyBorder="1" applyAlignment="1">
      <alignment horizontal="center"/>
    </xf>
    <xf numFmtId="0" fontId="9" fillId="10" borderId="5" xfId="5" applyFont="1" applyFill="1" applyBorder="1" applyAlignment="1">
      <alignment horizontal="center"/>
    </xf>
    <xf numFmtId="14" fontId="9" fillId="10" borderId="5" xfId="5" applyNumberFormat="1" applyFont="1" applyFill="1" applyBorder="1" applyAlignment="1">
      <alignment horizontal="center"/>
    </xf>
    <xf numFmtId="14" fontId="1" fillId="10" borderId="23" xfId="5" applyNumberFormat="1" applyFill="1" applyBorder="1" applyAlignment="1">
      <alignment horizontal="center"/>
    </xf>
    <xf numFmtId="0" fontId="9" fillId="10" borderId="0" xfId="5" applyFont="1" applyFill="1" applyBorder="1" applyAlignment="1">
      <alignment horizontal="left"/>
    </xf>
    <xf numFmtId="185" fontId="9" fillId="10" borderId="0" xfId="5" applyNumberFormat="1" applyFont="1" applyFill="1" applyBorder="1" applyAlignment="1">
      <alignment horizontal="center"/>
    </xf>
    <xf numFmtId="0" fontId="9" fillId="10" borderId="0" xfId="5" applyFont="1" applyFill="1" applyBorder="1" applyAlignment="1">
      <alignment horizontal="center"/>
    </xf>
    <xf numFmtId="14" fontId="9" fillId="10" borderId="0" xfId="5" applyNumberFormat="1" applyFont="1" applyFill="1" applyBorder="1" applyAlignment="1">
      <alignment horizontal="center"/>
    </xf>
    <xf numFmtId="14" fontId="1" fillId="10" borderId="21" xfId="5" applyNumberFormat="1" applyFill="1" applyBorder="1" applyAlignment="1">
      <alignment horizontal="center"/>
    </xf>
    <xf numFmtId="0" fontId="9" fillId="10" borderId="12" xfId="5" applyFont="1" applyFill="1" applyBorder="1" applyAlignment="1">
      <alignment horizontal="left"/>
    </xf>
    <xf numFmtId="185" fontId="9" fillId="10" borderId="12" xfId="5" applyNumberFormat="1" applyFont="1" applyFill="1" applyBorder="1" applyAlignment="1">
      <alignment horizontal="center"/>
    </xf>
    <xf numFmtId="0" fontId="9" fillId="10" borderId="12" xfId="5" applyFont="1" applyFill="1" applyBorder="1" applyAlignment="1">
      <alignment horizontal="center"/>
    </xf>
    <xf numFmtId="14" fontId="9" fillId="10" borderId="12" xfId="5" applyNumberFormat="1" applyFont="1" applyFill="1" applyBorder="1" applyAlignment="1">
      <alignment horizontal="center"/>
    </xf>
    <xf numFmtId="0" fontId="9" fillId="4" borderId="9" xfId="5" applyFont="1" applyFill="1" applyBorder="1" applyAlignment="1">
      <alignment horizontal="left"/>
    </xf>
    <xf numFmtId="0" fontId="9" fillId="4" borderId="5" xfId="5" applyFont="1" applyFill="1" applyBorder="1" applyAlignment="1">
      <alignment horizontal="left"/>
    </xf>
    <xf numFmtId="185" fontId="9" fillId="4" borderId="5" xfId="5" applyNumberFormat="1" applyFont="1" applyFill="1" applyBorder="1" applyAlignment="1">
      <alignment horizontal="center"/>
    </xf>
    <xf numFmtId="185" fontId="9" fillId="4" borderId="28" xfId="5" applyNumberFormat="1" applyFont="1" applyFill="1" applyBorder="1" applyAlignment="1">
      <alignment horizontal="center"/>
    </xf>
    <xf numFmtId="0" fontId="9" fillId="4" borderId="5" xfId="5" applyFont="1" applyFill="1" applyBorder="1" applyAlignment="1">
      <alignment horizontal="center"/>
    </xf>
    <xf numFmtId="14" fontId="9" fillId="4" borderId="5" xfId="5" applyNumberFormat="1" applyFont="1" applyFill="1" applyBorder="1" applyAlignment="1">
      <alignment horizontal="center"/>
    </xf>
    <xf numFmtId="14" fontId="1" fillId="4" borderId="23" xfId="5" applyNumberFormat="1" applyFill="1" applyBorder="1" applyAlignment="1">
      <alignment horizontal="center"/>
    </xf>
    <xf numFmtId="0" fontId="9" fillId="4" borderId="10" xfId="5" applyFont="1" applyFill="1" applyBorder="1" applyAlignment="1">
      <alignment horizontal="left"/>
    </xf>
    <xf numFmtId="0" fontId="9" fillId="4" borderId="0" xfId="5" applyFont="1" applyFill="1" applyBorder="1" applyAlignment="1">
      <alignment horizontal="left"/>
    </xf>
    <xf numFmtId="185" fontId="9" fillId="4" borderId="0" xfId="5" applyNumberFormat="1" applyFont="1" applyFill="1" applyBorder="1" applyAlignment="1">
      <alignment horizontal="center"/>
    </xf>
    <xf numFmtId="185" fontId="9" fillId="4" borderId="14" xfId="5" applyNumberFormat="1" applyFont="1" applyFill="1" applyBorder="1" applyAlignment="1">
      <alignment horizontal="center"/>
    </xf>
    <xf numFmtId="0" fontId="9" fillId="4" borderId="0" xfId="5" applyFont="1" applyFill="1" applyBorder="1" applyAlignment="1">
      <alignment horizontal="center"/>
    </xf>
    <xf numFmtId="14" fontId="9" fillId="4" borderId="0" xfId="5" applyNumberFormat="1" applyFont="1" applyFill="1" applyBorder="1" applyAlignment="1">
      <alignment horizontal="center"/>
    </xf>
    <xf numFmtId="14" fontId="1" fillId="4" borderId="21" xfId="5" applyNumberFormat="1" applyFill="1" applyBorder="1" applyAlignment="1">
      <alignment horizontal="center"/>
    </xf>
    <xf numFmtId="0" fontId="9" fillId="4" borderId="11" xfId="5" applyFont="1" applyFill="1" applyBorder="1" applyAlignment="1">
      <alignment horizontal="left"/>
    </xf>
    <xf numFmtId="0" fontId="9" fillId="4" borderId="12" xfId="5" applyFont="1" applyFill="1" applyBorder="1" applyAlignment="1">
      <alignment horizontal="left"/>
    </xf>
    <xf numFmtId="185" fontId="9" fillId="4" borderId="12" xfId="5" applyNumberFormat="1" applyFont="1" applyFill="1" applyBorder="1" applyAlignment="1">
      <alignment horizontal="center"/>
    </xf>
    <xf numFmtId="185" fontId="9" fillId="4" borderId="27" xfId="5" applyNumberFormat="1" applyFont="1" applyFill="1" applyBorder="1" applyAlignment="1">
      <alignment horizontal="center"/>
    </xf>
    <xf numFmtId="0" fontId="9" fillId="4" borderId="12" xfId="5" applyFont="1" applyFill="1" applyBorder="1" applyAlignment="1">
      <alignment horizontal="center"/>
    </xf>
    <xf numFmtId="14" fontId="9" fillId="4" borderId="12" xfId="5" applyNumberFormat="1" applyFont="1" applyFill="1" applyBorder="1" applyAlignment="1">
      <alignment horizontal="center"/>
    </xf>
    <xf numFmtId="14" fontId="1" fillId="4" borderId="24" xfId="5" applyNumberFormat="1" applyFill="1" applyBorder="1" applyAlignment="1">
      <alignment horizontal="center"/>
    </xf>
    <xf numFmtId="0" fontId="3" fillId="0" borderId="0" xfId="5" applyFont="1" applyAlignment="1">
      <alignment horizontal="center"/>
    </xf>
    <xf numFmtId="0" fontId="1" fillId="0" borderId="0" xfId="5" applyFont="1"/>
    <xf numFmtId="0" fontId="1" fillId="0" borderId="0" xfId="5" applyFont="1" applyFill="1" applyBorder="1" applyAlignment="1">
      <alignment horizontal="left"/>
    </xf>
    <xf numFmtId="10" fontId="1" fillId="0" borderId="0" xfId="5" applyNumberFormat="1" applyFont="1"/>
    <xf numFmtId="10" fontId="1" fillId="0" borderId="0" xfId="0" applyNumberFormat="1" applyFont="1"/>
    <xf numFmtId="14" fontId="1" fillId="4" borderId="0" xfId="5" applyNumberFormat="1" applyFill="1" applyBorder="1" applyAlignment="1">
      <alignment horizontal="center"/>
    </xf>
    <xf numFmtId="179" fontId="8" fillId="9" borderId="29" xfId="0" applyNumberFormat="1" applyFont="1" applyFill="1" applyBorder="1" applyAlignment="1" applyProtection="1">
      <alignment horizontal="center"/>
      <protection locked="0"/>
    </xf>
    <xf numFmtId="179" fontId="8" fillId="9" borderId="30" xfId="0" applyNumberFormat="1" applyFont="1" applyFill="1" applyBorder="1" applyAlignment="1" applyProtection="1">
      <alignment horizontal="center"/>
      <protection locked="0"/>
    </xf>
    <xf numFmtId="185" fontId="9" fillId="4" borderId="14" xfId="0" applyNumberFormat="1" applyFont="1" applyFill="1" applyBorder="1" applyAlignment="1">
      <alignment horizontal="center"/>
    </xf>
    <xf numFmtId="0" fontId="9" fillId="4" borderId="31" xfId="5" applyFont="1" applyFill="1" applyBorder="1" applyAlignment="1">
      <alignment horizontal="left"/>
    </xf>
    <xf numFmtId="0" fontId="9" fillId="4" borderId="32" xfId="5" applyFont="1" applyFill="1" applyBorder="1" applyAlignment="1">
      <alignment horizontal="left"/>
    </xf>
    <xf numFmtId="0" fontId="9" fillId="4" borderId="33" xfId="5" applyFont="1" applyFill="1" applyBorder="1" applyAlignment="1">
      <alignment horizontal="left"/>
    </xf>
    <xf numFmtId="0" fontId="9" fillId="4" borderId="34" xfId="5" applyFont="1" applyFill="1" applyBorder="1" applyAlignment="1">
      <alignment horizontal="left"/>
    </xf>
    <xf numFmtId="0" fontId="9" fillId="4" borderId="35" xfId="5" applyFont="1" applyFill="1" applyBorder="1" applyAlignment="1">
      <alignment horizontal="left"/>
    </xf>
    <xf numFmtId="0" fontId="9" fillId="4" borderId="36" xfId="5" applyFont="1" applyFill="1" applyBorder="1" applyAlignment="1">
      <alignment horizontal="left"/>
    </xf>
    <xf numFmtId="185" fontId="9" fillId="4" borderId="36" xfId="5" applyNumberFormat="1" applyFont="1" applyFill="1" applyBorder="1" applyAlignment="1">
      <alignment horizontal="center"/>
    </xf>
    <xf numFmtId="0" fontId="9" fillId="4" borderId="37" xfId="5" applyFont="1" applyFill="1" applyBorder="1" applyAlignment="1">
      <alignment horizontal="left"/>
    </xf>
    <xf numFmtId="186" fontId="1" fillId="0" borderId="38" xfId="5" applyNumberFormat="1" applyBorder="1" applyAlignment="1">
      <alignment horizontal="center"/>
    </xf>
    <xf numFmtId="0" fontId="1" fillId="0" borderId="39" xfId="5" applyFont="1" applyFill="1" applyBorder="1" applyAlignment="1">
      <alignment horizontal="center"/>
    </xf>
    <xf numFmtId="0" fontId="1" fillId="0" borderId="38" xfId="5" applyFont="1" applyBorder="1" applyAlignment="1">
      <alignment horizontal="center"/>
    </xf>
    <xf numFmtId="0" fontId="7" fillId="9" borderId="40" xfId="5" applyFont="1" applyFill="1" applyBorder="1" applyAlignment="1" applyProtection="1">
      <alignment horizontal="center"/>
      <protection locked="0"/>
    </xf>
    <xf numFmtId="0" fontId="7" fillId="9" borderId="38" xfId="5" applyFont="1" applyFill="1" applyBorder="1" applyAlignment="1" applyProtection="1">
      <alignment horizontal="center"/>
      <protection locked="0"/>
    </xf>
    <xf numFmtId="15" fontId="1" fillId="0" borderId="38" xfId="5" applyNumberFormat="1" applyBorder="1" applyAlignment="1">
      <alignment horizontal="center"/>
    </xf>
    <xf numFmtId="0" fontId="5" fillId="11" borderId="41" xfId="5" applyFont="1" applyFill="1" applyBorder="1" applyAlignment="1">
      <alignment horizontal="right" vertical="center" wrapText="1"/>
    </xf>
    <xf numFmtId="0" fontId="0" fillId="0" borderId="41" xfId="0" applyBorder="1" applyAlignment="1">
      <alignment horizontal="center"/>
    </xf>
    <xf numFmtId="0" fontId="5" fillId="0" borderId="42" xfId="5" applyFont="1" applyFill="1" applyBorder="1" applyAlignment="1">
      <alignment horizontal="right" vertical="center" wrapText="1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right"/>
    </xf>
    <xf numFmtId="0" fontId="0" fillId="0" borderId="43" xfId="0" applyBorder="1" applyAlignment="1">
      <alignment horizontal="center"/>
    </xf>
    <xf numFmtId="0" fontId="0" fillId="0" borderId="44" xfId="0" applyBorder="1" applyAlignment="1">
      <alignment horizontal="right"/>
    </xf>
    <xf numFmtId="0" fontId="0" fillId="0" borderId="44" xfId="0" applyBorder="1" applyAlignment="1">
      <alignment horizontal="center"/>
    </xf>
    <xf numFmtId="0" fontId="5" fillId="0" borderId="45" xfId="5" applyFont="1" applyFill="1" applyBorder="1" applyAlignment="1">
      <alignment horizontal="right" vertical="center" wrapText="1"/>
    </xf>
    <xf numFmtId="0" fontId="0" fillId="0" borderId="45" xfId="0" applyBorder="1" applyAlignment="1">
      <alignment horizontal="center"/>
    </xf>
    <xf numFmtId="182" fontId="0" fillId="12" borderId="46" xfId="0" applyNumberFormat="1" applyFill="1" applyBorder="1"/>
    <xf numFmtId="182" fontId="0" fillId="12" borderId="47" xfId="0" applyNumberFormat="1" applyFill="1" applyBorder="1"/>
    <xf numFmtId="182" fontId="0" fillId="11" borderId="47" xfId="0" applyNumberFormat="1" applyFill="1" applyBorder="1"/>
    <xf numFmtId="186" fontId="0" fillId="0" borderId="48" xfId="0" applyNumberFormat="1" applyBorder="1"/>
    <xf numFmtId="186" fontId="0" fillId="0" borderId="49" xfId="0" applyNumberFormat="1" applyBorder="1"/>
    <xf numFmtId="186" fontId="0" fillId="0" borderId="50" xfId="0" applyNumberFormat="1" applyBorder="1"/>
    <xf numFmtId="186" fontId="0" fillId="0" borderId="51" xfId="0" applyNumberFormat="1" applyBorder="1"/>
    <xf numFmtId="186" fontId="0" fillId="0" borderId="0" xfId="0" applyNumberFormat="1" applyBorder="1"/>
    <xf numFmtId="186" fontId="0" fillId="0" borderId="52" xfId="0" applyNumberFormat="1" applyBorder="1"/>
    <xf numFmtId="186" fontId="0" fillId="0" borderId="53" xfId="0" applyNumberFormat="1" applyBorder="1"/>
    <xf numFmtId="186" fontId="0" fillId="0" borderId="54" xfId="0" applyNumberFormat="1" applyBorder="1"/>
    <xf numFmtId="186" fontId="0" fillId="0" borderId="55" xfId="0" applyNumberFormat="1" applyBorder="1"/>
    <xf numFmtId="0" fontId="5" fillId="0" borderId="48" xfId="5" applyFont="1" applyFill="1" applyBorder="1" applyAlignment="1">
      <alignment horizontal="left" vertical="center" wrapText="1"/>
    </xf>
    <xf numFmtId="0" fontId="0" fillId="12" borderId="50" xfId="0" applyFill="1" applyBorder="1"/>
    <xf numFmtId="0" fontId="0" fillId="0" borderId="51" xfId="0" applyBorder="1" applyAlignment="1">
      <alignment horizontal="left"/>
    </xf>
    <xf numFmtId="0" fontId="0" fillId="12" borderId="52" xfId="0" applyFill="1" applyBorder="1"/>
    <xf numFmtId="0" fontId="0" fillId="0" borderId="53" xfId="0" applyBorder="1" applyAlignment="1">
      <alignment horizontal="left"/>
    </xf>
    <xf numFmtId="0" fontId="0" fillId="12" borderId="55" xfId="0" applyFill="1" applyBorder="1"/>
    <xf numFmtId="0" fontId="9" fillId="0" borderId="0" xfId="5" applyFont="1" applyAlignment="1">
      <alignment horizontal="left"/>
    </xf>
    <xf numFmtId="14" fontId="16" fillId="0" borderId="0" xfId="5" applyNumberFormat="1" applyFont="1" applyFill="1" applyBorder="1" applyAlignment="1"/>
    <xf numFmtId="195" fontId="16" fillId="0" borderId="0" xfId="5" applyNumberFormat="1" applyFont="1" applyFill="1" applyBorder="1" applyAlignment="1"/>
    <xf numFmtId="0" fontId="9" fillId="4" borderId="3" xfId="0" applyFont="1" applyFill="1" applyBorder="1" applyAlignment="1">
      <alignment horizontal="left"/>
    </xf>
    <xf numFmtId="0" fontId="9" fillId="4" borderId="4" xfId="0" applyFont="1" applyFill="1" applyBorder="1" applyAlignment="1">
      <alignment horizontal="left"/>
    </xf>
    <xf numFmtId="185" fontId="9" fillId="4" borderId="4" xfId="0" applyNumberFormat="1" applyFont="1" applyFill="1" applyBorder="1" applyAlignment="1">
      <alignment horizontal="center"/>
    </xf>
    <xf numFmtId="179" fontId="8" fillId="9" borderId="56" xfId="0" applyNumberFormat="1" applyFont="1" applyFill="1" applyBorder="1" applyAlignment="1" applyProtection="1">
      <alignment horizontal="center"/>
      <protection locked="0"/>
    </xf>
    <xf numFmtId="0" fontId="9" fillId="4" borderId="4" xfId="0" applyFont="1" applyFill="1" applyBorder="1" applyAlignment="1">
      <alignment horizontal="center"/>
    </xf>
    <xf numFmtId="14" fontId="9" fillId="4" borderId="4" xfId="0" applyNumberFormat="1" applyFont="1" applyFill="1" applyBorder="1" applyAlignment="1">
      <alignment horizontal="center"/>
    </xf>
    <xf numFmtId="14" fontId="0" fillId="4" borderId="13" xfId="0" applyNumberFormat="1" applyFill="1" applyBorder="1" applyAlignment="1">
      <alignment horizontal="center"/>
    </xf>
    <xf numFmtId="184" fontId="1" fillId="0" borderId="0" xfId="0" applyNumberFormat="1" applyFont="1"/>
    <xf numFmtId="0" fontId="3" fillId="0" borderId="3" xfId="0" applyFont="1" applyBorder="1" applyAlignment="1">
      <alignment horizontal="right" vertical="center" wrapText="1"/>
    </xf>
    <xf numFmtId="0" fontId="0" fillId="0" borderId="13" xfId="0" applyBorder="1" applyAlignment="1">
      <alignment horizontal="right"/>
    </xf>
    <xf numFmtId="0" fontId="3" fillId="0" borderId="11" xfId="0" applyFont="1" applyBorder="1" applyAlignment="1">
      <alignment horizontal="right"/>
    </xf>
    <xf numFmtId="0" fontId="3" fillId="0" borderId="24" xfId="0" applyFont="1" applyBorder="1" applyAlignment="1">
      <alignment horizontal="right"/>
    </xf>
    <xf numFmtId="0" fontId="10" fillId="13" borderId="23" xfId="0" applyFont="1" applyFill="1" applyBorder="1" applyAlignment="1">
      <alignment horizontal="center" vertical="center" textRotation="90"/>
    </xf>
    <xf numFmtId="0" fontId="0" fillId="0" borderId="21" xfId="0" applyBorder="1" applyAlignment="1"/>
    <xf numFmtId="0" fontId="10" fillId="13" borderId="33" xfId="0" applyFont="1" applyFill="1" applyBorder="1" applyAlignment="1">
      <alignment horizontal="center" vertical="center" textRotation="90"/>
    </xf>
    <xf numFmtId="0" fontId="10" fillId="13" borderId="33" xfId="0" applyFont="1" applyFill="1" applyBorder="1" applyAlignment="1"/>
    <xf numFmtId="0" fontId="10" fillId="13" borderId="35" xfId="0" applyFont="1" applyFill="1" applyBorder="1" applyAlignment="1"/>
    <xf numFmtId="0" fontId="10" fillId="14" borderId="9" xfId="0" applyFont="1" applyFill="1" applyBorder="1" applyAlignment="1">
      <alignment horizontal="center" vertical="center" textRotation="90"/>
    </xf>
    <xf numFmtId="0" fontId="10" fillId="14" borderId="10" xfId="0" applyFont="1" applyFill="1" applyBorder="1" applyAlignment="1">
      <alignment horizontal="center" vertical="center" textRotation="90"/>
    </xf>
    <xf numFmtId="0" fontId="10" fillId="14" borderId="11" xfId="0" applyFont="1" applyFill="1" applyBorder="1" applyAlignment="1">
      <alignment horizontal="center" vertical="center" textRotation="90"/>
    </xf>
    <xf numFmtId="0" fontId="0" fillId="0" borderId="24" xfId="0" applyBorder="1" applyAlignment="1">
      <alignment horizontal="right"/>
    </xf>
    <xf numFmtId="0" fontId="10" fillId="11" borderId="33" xfId="0" applyFont="1" applyFill="1" applyBorder="1" applyAlignment="1">
      <alignment horizontal="center" vertical="center" textRotation="90"/>
    </xf>
    <xf numFmtId="0" fontId="10" fillId="15" borderId="0" xfId="0" applyFont="1" applyFill="1" applyBorder="1" applyAlignment="1">
      <alignment horizontal="center" vertical="center" textRotation="90"/>
    </xf>
    <xf numFmtId="0" fontId="10" fillId="15" borderId="12" xfId="0" applyFont="1" applyFill="1" applyBorder="1" applyAlignment="1">
      <alignment horizontal="center" vertical="center" textRotation="90"/>
    </xf>
    <xf numFmtId="0" fontId="10" fillId="13" borderId="33" xfId="5" applyFont="1" applyFill="1" applyBorder="1" applyAlignment="1">
      <alignment horizontal="center" vertical="center" textRotation="90"/>
    </xf>
    <xf numFmtId="0" fontId="10" fillId="13" borderId="33" xfId="5" applyFont="1" applyFill="1" applyBorder="1" applyAlignment="1"/>
    <xf numFmtId="0" fontId="10" fillId="13" borderId="35" xfId="5" applyFont="1" applyFill="1" applyBorder="1" applyAlignment="1"/>
    <xf numFmtId="0" fontId="3" fillId="0" borderId="3" xfId="5" applyFont="1" applyBorder="1" applyAlignment="1">
      <alignment horizontal="right" vertical="center" wrapText="1"/>
    </xf>
    <xf numFmtId="0" fontId="1" fillId="0" borderId="13" xfId="5" applyBorder="1" applyAlignment="1">
      <alignment horizontal="right"/>
    </xf>
    <xf numFmtId="0" fontId="10" fillId="15" borderId="0" xfId="5" applyFont="1" applyFill="1" applyBorder="1" applyAlignment="1">
      <alignment horizontal="center" vertical="center" textRotation="90"/>
    </xf>
    <xf numFmtId="0" fontId="1" fillId="0" borderId="0" xfId="5" applyAlignment="1">
      <alignment horizontal="center" vertical="center" textRotation="90"/>
    </xf>
    <xf numFmtId="0" fontId="1" fillId="0" borderId="12" xfId="5" applyBorder="1" applyAlignment="1">
      <alignment horizontal="center" vertical="center" textRotation="90"/>
    </xf>
    <xf numFmtId="0" fontId="10" fillId="11" borderId="23" xfId="5" applyFont="1" applyFill="1" applyBorder="1" applyAlignment="1">
      <alignment horizontal="center" vertical="center" textRotation="90"/>
    </xf>
    <xf numFmtId="0" fontId="10" fillId="11" borderId="21" xfId="5" applyFont="1" applyFill="1" applyBorder="1" applyAlignment="1">
      <alignment horizontal="center" vertical="center" textRotation="90"/>
    </xf>
    <xf numFmtId="0" fontId="1" fillId="0" borderId="21" xfId="5" applyBorder="1" applyAlignment="1">
      <alignment horizontal="center" vertical="center" textRotation="90"/>
    </xf>
    <xf numFmtId="0" fontId="10" fillId="13" borderId="5" xfId="0" applyFont="1" applyFill="1" applyBorder="1" applyAlignment="1">
      <alignment horizontal="center" vertical="center" textRotation="90"/>
    </xf>
    <xf numFmtId="0" fontId="0" fillId="0" borderId="0" xfId="0" applyBorder="1" applyAlignment="1"/>
    <xf numFmtId="197" fontId="9" fillId="4" borderId="0" xfId="4" applyNumberFormat="1" applyFont="1" applyFill="1" applyBorder="1" applyAlignment="1">
      <alignment horizontal="left"/>
    </xf>
    <xf numFmtId="197" fontId="9" fillId="4" borderId="34" xfId="4" applyNumberFormat="1" applyFont="1" applyFill="1" applyBorder="1" applyAlignment="1">
      <alignment horizontal="left"/>
    </xf>
    <xf numFmtId="197" fontId="0" fillId="0" borderId="34" xfId="4" applyNumberFormat="1" applyFont="1" applyBorder="1" applyAlignment="1">
      <alignment horizontal="left"/>
    </xf>
    <xf numFmtId="0" fontId="10" fillId="13" borderId="31" xfId="5" applyFont="1" applyFill="1" applyBorder="1" applyAlignment="1">
      <alignment horizontal="center" vertical="center" textRotation="90"/>
    </xf>
    <xf numFmtId="197" fontId="9" fillId="4" borderId="32" xfId="4" applyNumberFormat="1" applyFont="1" applyFill="1" applyBorder="1" applyAlignment="1">
      <alignment horizontal="left"/>
    </xf>
    <xf numFmtId="197" fontId="0" fillId="0" borderId="57" xfId="4" applyNumberFormat="1" applyFont="1" applyBorder="1" applyAlignment="1">
      <alignment horizontal="left"/>
    </xf>
    <xf numFmtId="14" fontId="0" fillId="0" borderId="0" xfId="0" applyNumberFormat="1"/>
  </cellXfs>
  <cellStyles count="7">
    <cellStyle name="Body" xfId="1"/>
    <cellStyle name="Comma" xfId="4" builtinId="3"/>
    <cellStyle name="Header2" xfId="2"/>
    <cellStyle name="Input" xfId="3" builtinId="20" customBuiltin="1"/>
    <cellStyle name="Normal" xfId="0" builtinId="0"/>
    <cellStyle name="Normale_Marketdata" xfId="5"/>
    <cellStyle name="Output" xfId="6" builtinId="21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B1D5A9"/>
      <rgbColor rgb="000000FF"/>
      <rgbColor rgb="00FFFF00"/>
      <rgbColor rgb="00E11F1F"/>
      <rgbColor rgb="0000FFFF"/>
      <rgbColor rgb="00800000"/>
      <rgbColor rgb="00008000"/>
      <rgbColor rgb="00000080"/>
      <rgbColor rgb="0025B14A"/>
      <rgbColor rgb="00810000"/>
      <rgbColor rgb="00008080"/>
      <rgbColor rgb="00EEEEEE"/>
      <rgbColor rgb="007D7D7D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B8CCE4"/>
      <rgbColor rgb="00CCFFFF"/>
      <rgbColor rgb="00D4E1D1"/>
      <rgbColor rgb="00FF6600"/>
      <rgbColor rgb="00DBE5F1"/>
      <rgbColor rgb="00FF99CC"/>
      <rgbColor rgb="00FFDAFF"/>
      <rgbColor rgb="00FFCC99"/>
      <rgbColor rgb="00477AB7"/>
      <rgbColor rgb="0033CCCC"/>
      <rgbColor rgb="0099CC00"/>
      <rgbColor rgb="00FFCC00"/>
      <rgbColor rgb="00FAB882"/>
      <rgbColor rgb="00FF6600"/>
      <rgbColor rgb="00666699"/>
      <rgbColor rgb="00E0E0E0"/>
      <rgbColor rgb="00003366"/>
      <rgbColor rgb="00649955"/>
      <rgbColor rgb="00003300"/>
      <rgbColor rgb="00F8F8F8"/>
      <rgbColor rgb="00993300"/>
      <rgbColor rgb="00E34234"/>
      <rgbColor rgb="00333399"/>
      <rgbColor rgb="00333333"/>
    </indexedColors>
  </colors>
</styleSheet>
</file>

<file path=xl/volatileDependencies.xml><?xml version="1.0" encoding="utf-8"?>
<volTypes xmlns="http://schemas.openxmlformats.org/spreadsheetml/2006/main">
  <volType type="realTimeData">
    <main first="bloomberg.ccyreader">
      <tp t="e">
        <v>#N/A</v>
        <stp/>
        <stp>#track</stp>
        <stp>DBG</stp>
        <stp>XCLR</stp>
        <stp>1.1</stp>
        <stp>1</stp>
        <tr r="R4" s="16"/>
        <tr r="R4" s="11"/>
        <tr r="Q4" s="20"/>
        <tr r="Q4" s="19"/>
        <tr r="R4" s="14"/>
        <tr r="R4" s="15"/>
        <tr r="R4" s="10"/>
        <tr r="R4" s="13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volatileDependencies" Target="volatileDependencie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46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29703" name="AutoShape 93"/>
        <xdr:cNvSpPr>
          <a:spLocks noChangeArrowheads="1"/>
        </xdr:cNvSpPr>
      </xdr:nvSpPr>
      <xdr:spPr bwMode="auto">
        <a:xfrm rot="-5400000">
          <a:off x="8439150" y="7886700"/>
          <a:ext cx="0" cy="0"/>
        </a:xfrm>
        <a:custGeom>
          <a:avLst/>
          <a:gdLst>
            <a:gd name="T0" fmla="*/ 2147483647 w 21600"/>
            <a:gd name="T1" fmla="*/ 1011973773 h 21600"/>
            <a:gd name="T2" fmla="*/ 2147483647 w 21600"/>
            <a:gd name="T3" fmla="*/ 2023946092 h 21600"/>
            <a:gd name="T4" fmla="*/ 1493558625 w 21600"/>
            <a:gd name="T5" fmla="*/ 1011973773 h 21600"/>
            <a:gd name="T6" fmla="*/ 2147483647 w 21600"/>
            <a:gd name="T7" fmla="*/ 0 h 21600"/>
            <a:gd name="T8" fmla="*/ 0 60000 65536"/>
            <a:gd name="T9" fmla="*/ 0 60000 65536"/>
            <a:gd name="T10" fmla="*/ 0 60000 65536"/>
            <a:gd name="T11" fmla="*/ 0 60000 65536"/>
            <a:gd name="T12" fmla="*/ 6569 w 21600"/>
            <a:gd name="T13" fmla="*/ 6569 h 21600"/>
            <a:gd name="T14" fmla="*/ 15031 w 21600"/>
            <a:gd name="T15" fmla="*/ 15031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0" y="0"/>
              </a:moveTo>
              <a:lnTo>
                <a:pt x="9537" y="21600"/>
              </a:lnTo>
              <a:lnTo>
                <a:pt x="12063" y="21600"/>
              </a:lnTo>
              <a:lnTo>
                <a:pt x="21600" y="0"/>
              </a:lnTo>
              <a:close/>
            </a:path>
          </a:pathLst>
        </a:custGeom>
        <a:solidFill>
          <a:srgbClr val="99CC00">
            <a:alpha val="30196"/>
          </a:srgbClr>
        </a:solidFill>
        <a:ln w="9525">
          <a:solidFill>
            <a:srgbClr val="99CC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0</xdr:colOff>
      <xdr:row>0</xdr:row>
      <xdr:rowOff>304800</xdr:rowOff>
    </xdr:to>
    <xdr:sp macro="" textlink="">
      <xdr:nvSpPr>
        <xdr:cNvPr id="29712" name="com_bar"/>
        <xdr:cNvSpPr>
          <a:spLocks noChangeArrowheads="1"/>
        </xdr:cNvSpPr>
      </xdr:nvSpPr>
      <xdr:spPr bwMode="auto">
        <a:xfrm>
          <a:off x="0" y="0"/>
          <a:ext cx="9420225" cy="304800"/>
        </a:xfrm>
        <a:prstGeom prst="rect">
          <a:avLst/>
        </a:prstGeom>
        <a:gradFill rotWithShape="1">
          <a:gsLst>
            <a:gs pos="0">
              <a:srgbClr val="477AB7"/>
            </a:gs>
            <a:gs pos="100000">
              <a:srgbClr val="B8CCE4"/>
            </a:gs>
          </a:gsLst>
          <a:lin ang="0" scaled="1"/>
        </a:gradFill>
        <a:ln w="9525">
          <a:solidFill>
            <a:srgbClr val="99CCFF"/>
          </a:solidFill>
          <a:miter lim="800000"/>
          <a:headEnd/>
          <a:tailEnd/>
        </a:ln>
      </xdr:spPr>
      <xdr:txBody>
        <a:bodyPr vertOverflow="clip" wrap="square" lIns="36576" tIns="36576" rIns="0" bIns="0" anchor="t" upright="1"/>
        <a:lstStyle/>
        <a:p>
          <a:pPr algn="ctr" rtl="0">
            <a:defRPr sz="1000"/>
          </a:pPr>
          <a:r>
            <a:rPr lang="it-IT" sz="1800" b="1" i="0" u="none" strike="noStrike" baseline="0">
              <a:solidFill>
                <a:srgbClr val="333333"/>
              </a:solidFill>
              <a:latin typeface="Calibri"/>
            </a:rPr>
            <a:t>Market data - EONIA Swaps</a:t>
          </a:r>
        </a:p>
        <a:p>
          <a:pPr algn="ctr" rtl="0">
            <a:defRPr sz="1000"/>
          </a:pPr>
          <a:endParaRPr lang="it-IT" sz="1800" b="1" i="0" u="none" strike="noStrike" baseline="0">
            <a:solidFill>
              <a:srgbClr val="333333"/>
            </a:solidFill>
            <a:latin typeface="Calibri"/>
          </a:endParaRPr>
        </a:p>
      </xdr:txBody>
    </xdr:sp>
    <xdr:clientData/>
  </xdr:twoCellAnchor>
  <xdr:twoCellAnchor>
    <xdr:from>
      <xdr:col>0</xdr:col>
      <xdr:colOff>19050</xdr:colOff>
      <xdr:row>0</xdr:row>
      <xdr:rowOff>28575</xdr:rowOff>
    </xdr:from>
    <xdr:to>
      <xdr:col>2</xdr:col>
      <xdr:colOff>457200</xdr:colOff>
      <xdr:row>1</xdr:row>
      <xdr:rowOff>9525</xdr:rowOff>
    </xdr:to>
    <xdr:pic>
      <xdr:nvPicPr>
        <xdr:cNvPr id="29766" name="Picture 70" descr="RONDPOINTde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4471"/>
        <a:stretch>
          <a:fillRect/>
        </a:stretch>
      </xdr:blipFill>
      <xdr:spPr bwMode="auto">
        <a:xfrm>
          <a:off x="19050" y="28575"/>
          <a:ext cx="1619250" cy="533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50</xdr:row>
      <xdr:rowOff>0</xdr:rowOff>
    </xdr:from>
    <xdr:to>
      <xdr:col>12</xdr:col>
      <xdr:colOff>0</xdr:colOff>
      <xdr:row>50</xdr:row>
      <xdr:rowOff>0</xdr:rowOff>
    </xdr:to>
    <xdr:sp macro="" textlink="">
      <xdr:nvSpPr>
        <xdr:cNvPr id="25607" name="AutoShape 93"/>
        <xdr:cNvSpPr>
          <a:spLocks noChangeArrowheads="1"/>
        </xdr:cNvSpPr>
      </xdr:nvSpPr>
      <xdr:spPr bwMode="auto">
        <a:xfrm rot="-5400000">
          <a:off x="10401300" y="8534400"/>
          <a:ext cx="0" cy="0"/>
        </a:xfrm>
        <a:custGeom>
          <a:avLst/>
          <a:gdLst>
            <a:gd name="T0" fmla="*/ 2147483647 w 21600"/>
            <a:gd name="T1" fmla="*/ 1011973773 h 21600"/>
            <a:gd name="T2" fmla="*/ 2147483647 w 21600"/>
            <a:gd name="T3" fmla="*/ 2023946092 h 21600"/>
            <a:gd name="T4" fmla="*/ 1493558625 w 21600"/>
            <a:gd name="T5" fmla="*/ 1011973773 h 21600"/>
            <a:gd name="T6" fmla="*/ 2147483647 w 21600"/>
            <a:gd name="T7" fmla="*/ 0 h 21600"/>
            <a:gd name="T8" fmla="*/ 0 60000 65536"/>
            <a:gd name="T9" fmla="*/ 0 60000 65536"/>
            <a:gd name="T10" fmla="*/ 0 60000 65536"/>
            <a:gd name="T11" fmla="*/ 0 60000 65536"/>
            <a:gd name="T12" fmla="*/ 6569 w 21600"/>
            <a:gd name="T13" fmla="*/ 6569 h 21600"/>
            <a:gd name="T14" fmla="*/ 15031 w 21600"/>
            <a:gd name="T15" fmla="*/ 15031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0" y="0"/>
              </a:moveTo>
              <a:lnTo>
                <a:pt x="9537" y="21600"/>
              </a:lnTo>
              <a:lnTo>
                <a:pt x="12063" y="21600"/>
              </a:lnTo>
              <a:lnTo>
                <a:pt x="21600" y="0"/>
              </a:lnTo>
              <a:close/>
            </a:path>
          </a:pathLst>
        </a:custGeom>
        <a:solidFill>
          <a:srgbClr val="99CC00">
            <a:alpha val="30196"/>
          </a:srgbClr>
        </a:solidFill>
        <a:ln w="9525">
          <a:solidFill>
            <a:srgbClr val="99CC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0</xdr:colOff>
      <xdr:row>0</xdr:row>
      <xdr:rowOff>304800</xdr:rowOff>
    </xdr:to>
    <xdr:sp macro="" textlink="">
      <xdr:nvSpPr>
        <xdr:cNvPr id="25618" name="com_bar"/>
        <xdr:cNvSpPr>
          <a:spLocks noChangeArrowheads="1"/>
        </xdr:cNvSpPr>
      </xdr:nvSpPr>
      <xdr:spPr bwMode="auto">
        <a:xfrm>
          <a:off x="0" y="0"/>
          <a:ext cx="9420225" cy="304800"/>
        </a:xfrm>
        <a:prstGeom prst="rect">
          <a:avLst/>
        </a:prstGeom>
        <a:gradFill rotWithShape="1">
          <a:gsLst>
            <a:gs pos="0">
              <a:srgbClr val="477AB7"/>
            </a:gs>
            <a:gs pos="100000">
              <a:srgbClr val="B8CCE4"/>
            </a:gs>
          </a:gsLst>
          <a:lin ang="0" scaled="1"/>
        </a:gradFill>
        <a:ln w="9525">
          <a:solidFill>
            <a:srgbClr val="99CCFF"/>
          </a:solidFill>
          <a:miter lim="800000"/>
          <a:headEnd/>
          <a:tailEnd/>
        </a:ln>
      </xdr:spPr>
      <xdr:txBody>
        <a:bodyPr vertOverflow="clip" wrap="square" lIns="36576" tIns="36576" rIns="0" bIns="0" anchor="t" upright="1"/>
        <a:lstStyle/>
        <a:p>
          <a:pPr algn="ctr" rtl="0">
            <a:defRPr sz="1000"/>
          </a:pPr>
          <a:r>
            <a:rPr lang="it-IT" sz="1800" b="1" i="0" u="none" strike="noStrike" baseline="0">
              <a:solidFill>
                <a:srgbClr val="333333"/>
              </a:solidFill>
              <a:latin typeface="Calibri"/>
            </a:rPr>
            <a:t>Market data - LIBOR Deposits, FRA, Futures, Swaps</a:t>
          </a:r>
        </a:p>
        <a:p>
          <a:pPr algn="ctr" rtl="0">
            <a:defRPr sz="1000"/>
          </a:pPr>
          <a:endParaRPr lang="it-IT" sz="1800" b="1" i="0" u="none" strike="noStrike" baseline="0">
            <a:solidFill>
              <a:srgbClr val="333333"/>
            </a:solidFill>
            <a:latin typeface="Calibri"/>
          </a:endParaRPr>
        </a:p>
      </xdr:txBody>
    </xdr:sp>
    <xdr:clientData/>
  </xdr:twoCellAnchor>
  <xdr:twoCellAnchor>
    <xdr:from>
      <xdr:col>0</xdr:col>
      <xdr:colOff>19050</xdr:colOff>
      <xdr:row>0</xdr:row>
      <xdr:rowOff>28575</xdr:rowOff>
    </xdr:from>
    <xdr:to>
      <xdr:col>2</xdr:col>
      <xdr:colOff>457200</xdr:colOff>
      <xdr:row>1</xdr:row>
      <xdr:rowOff>9525</xdr:rowOff>
    </xdr:to>
    <xdr:pic>
      <xdr:nvPicPr>
        <xdr:cNvPr id="25730" name="Picture 130" descr="RONDPOINTde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4471"/>
        <a:stretch>
          <a:fillRect/>
        </a:stretch>
      </xdr:blipFill>
      <xdr:spPr bwMode="auto">
        <a:xfrm>
          <a:off x="19050" y="28575"/>
          <a:ext cx="1619250" cy="533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56</xdr:row>
      <xdr:rowOff>0</xdr:rowOff>
    </xdr:from>
    <xdr:to>
      <xdr:col>12</xdr:col>
      <xdr:colOff>0</xdr:colOff>
      <xdr:row>56</xdr:row>
      <xdr:rowOff>0</xdr:rowOff>
    </xdr:to>
    <xdr:sp macro="" textlink="">
      <xdr:nvSpPr>
        <xdr:cNvPr id="34817" name="AutoShape 93"/>
        <xdr:cNvSpPr>
          <a:spLocks noChangeArrowheads="1"/>
        </xdr:cNvSpPr>
      </xdr:nvSpPr>
      <xdr:spPr bwMode="auto">
        <a:xfrm rot="-5400000">
          <a:off x="10401300" y="9505950"/>
          <a:ext cx="0" cy="0"/>
        </a:xfrm>
        <a:custGeom>
          <a:avLst/>
          <a:gdLst>
            <a:gd name="T0" fmla="*/ 2147483647 w 21600"/>
            <a:gd name="T1" fmla="*/ 1011973773 h 21600"/>
            <a:gd name="T2" fmla="*/ 2147483647 w 21600"/>
            <a:gd name="T3" fmla="*/ 2023946092 h 21600"/>
            <a:gd name="T4" fmla="*/ 1493558625 w 21600"/>
            <a:gd name="T5" fmla="*/ 1011973773 h 21600"/>
            <a:gd name="T6" fmla="*/ 2147483647 w 21600"/>
            <a:gd name="T7" fmla="*/ 0 h 21600"/>
            <a:gd name="T8" fmla="*/ 0 60000 65536"/>
            <a:gd name="T9" fmla="*/ 0 60000 65536"/>
            <a:gd name="T10" fmla="*/ 0 60000 65536"/>
            <a:gd name="T11" fmla="*/ 0 60000 65536"/>
            <a:gd name="T12" fmla="*/ 6569 w 21600"/>
            <a:gd name="T13" fmla="*/ 6569 h 21600"/>
            <a:gd name="T14" fmla="*/ 15031 w 21600"/>
            <a:gd name="T15" fmla="*/ 15031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0" y="0"/>
              </a:moveTo>
              <a:lnTo>
                <a:pt x="9537" y="21600"/>
              </a:lnTo>
              <a:lnTo>
                <a:pt x="12063" y="21600"/>
              </a:lnTo>
              <a:lnTo>
                <a:pt x="21600" y="0"/>
              </a:lnTo>
              <a:close/>
            </a:path>
          </a:pathLst>
        </a:custGeom>
        <a:solidFill>
          <a:srgbClr val="99CC00">
            <a:alpha val="30196"/>
          </a:srgbClr>
        </a:solidFill>
        <a:ln w="9525">
          <a:solidFill>
            <a:srgbClr val="99CC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0</xdr:colOff>
      <xdr:row>0</xdr:row>
      <xdr:rowOff>304800</xdr:rowOff>
    </xdr:to>
    <xdr:sp macro="" textlink="">
      <xdr:nvSpPr>
        <xdr:cNvPr id="34818" name="com_bar"/>
        <xdr:cNvSpPr>
          <a:spLocks noChangeArrowheads="1"/>
        </xdr:cNvSpPr>
      </xdr:nvSpPr>
      <xdr:spPr bwMode="auto">
        <a:xfrm>
          <a:off x="0" y="0"/>
          <a:ext cx="9420225" cy="304800"/>
        </a:xfrm>
        <a:prstGeom prst="rect">
          <a:avLst/>
        </a:prstGeom>
        <a:gradFill rotWithShape="1">
          <a:gsLst>
            <a:gs pos="0">
              <a:srgbClr val="477AB7"/>
            </a:gs>
            <a:gs pos="100000">
              <a:srgbClr val="B8CCE4"/>
            </a:gs>
          </a:gsLst>
          <a:lin ang="0" scaled="1"/>
        </a:gradFill>
        <a:ln w="9525">
          <a:solidFill>
            <a:srgbClr val="99CCFF"/>
          </a:solidFill>
          <a:miter lim="800000"/>
          <a:headEnd/>
          <a:tailEnd/>
        </a:ln>
      </xdr:spPr>
      <xdr:txBody>
        <a:bodyPr vertOverflow="clip" wrap="square" lIns="36576" tIns="36576" rIns="0" bIns="0" anchor="t" upright="1"/>
        <a:lstStyle/>
        <a:p>
          <a:pPr algn="ctr" rtl="0">
            <a:defRPr sz="1000"/>
          </a:pPr>
          <a:r>
            <a:rPr lang="it-IT" sz="1800" b="1" i="0" u="none" strike="noStrike" baseline="0">
              <a:solidFill>
                <a:srgbClr val="333333"/>
              </a:solidFill>
              <a:latin typeface="Calibri"/>
            </a:rPr>
            <a:t>Market data - LIBOR Deposits, FRA, Futures, Swaps</a:t>
          </a:r>
        </a:p>
        <a:p>
          <a:pPr algn="ctr" rtl="0">
            <a:defRPr sz="1000"/>
          </a:pPr>
          <a:endParaRPr lang="it-IT" sz="1800" b="1" i="0" u="none" strike="noStrike" baseline="0">
            <a:solidFill>
              <a:srgbClr val="333333"/>
            </a:solidFill>
            <a:latin typeface="Calibri"/>
          </a:endParaRPr>
        </a:p>
      </xdr:txBody>
    </xdr:sp>
    <xdr:clientData/>
  </xdr:twoCellAnchor>
  <xdr:twoCellAnchor>
    <xdr:from>
      <xdr:col>0</xdr:col>
      <xdr:colOff>19050</xdr:colOff>
      <xdr:row>0</xdr:row>
      <xdr:rowOff>28575</xdr:rowOff>
    </xdr:from>
    <xdr:to>
      <xdr:col>2</xdr:col>
      <xdr:colOff>457200</xdr:colOff>
      <xdr:row>1</xdr:row>
      <xdr:rowOff>9525</xdr:rowOff>
    </xdr:to>
    <xdr:pic>
      <xdr:nvPicPr>
        <xdr:cNvPr id="34858" name="Picture 42" descr="RONDPOINTde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4471"/>
        <a:stretch>
          <a:fillRect/>
        </a:stretch>
      </xdr:blipFill>
      <xdr:spPr bwMode="auto">
        <a:xfrm>
          <a:off x="19050" y="28575"/>
          <a:ext cx="1619250" cy="533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56</xdr:row>
      <xdr:rowOff>0</xdr:rowOff>
    </xdr:from>
    <xdr:to>
      <xdr:col>12</xdr:col>
      <xdr:colOff>0</xdr:colOff>
      <xdr:row>56</xdr:row>
      <xdr:rowOff>0</xdr:rowOff>
    </xdr:to>
    <xdr:sp macro="" textlink="">
      <xdr:nvSpPr>
        <xdr:cNvPr id="40961" name="AutoShape 93"/>
        <xdr:cNvSpPr>
          <a:spLocks noChangeArrowheads="1"/>
        </xdr:cNvSpPr>
      </xdr:nvSpPr>
      <xdr:spPr bwMode="auto">
        <a:xfrm rot="-5400000">
          <a:off x="9953625" y="9725025"/>
          <a:ext cx="0" cy="0"/>
        </a:xfrm>
        <a:custGeom>
          <a:avLst/>
          <a:gdLst>
            <a:gd name="T0" fmla="*/ 2147483647 w 21600"/>
            <a:gd name="T1" fmla="*/ 1011973773 h 21600"/>
            <a:gd name="T2" fmla="*/ 2147483647 w 21600"/>
            <a:gd name="T3" fmla="*/ 2023946092 h 21600"/>
            <a:gd name="T4" fmla="*/ 1493558625 w 21600"/>
            <a:gd name="T5" fmla="*/ 1011973773 h 21600"/>
            <a:gd name="T6" fmla="*/ 2147483647 w 21600"/>
            <a:gd name="T7" fmla="*/ 0 h 21600"/>
            <a:gd name="T8" fmla="*/ 0 60000 65536"/>
            <a:gd name="T9" fmla="*/ 0 60000 65536"/>
            <a:gd name="T10" fmla="*/ 0 60000 65536"/>
            <a:gd name="T11" fmla="*/ 0 60000 65536"/>
            <a:gd name="T12" fmla="*/ 6569 w 21600"/>
            <a:gd name="T13" fmla="*/ 6569 h 21600"/>
            <a:gd name="T14" fmla="*/ 15031 w 21600"/>
            <a:gd name="T15" fmla="*/ 15031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0" y="0"/>
              </a:moveTo>
              <a:lnTo>
                <a:pt x="9537" y="21600"/>
              </a:lnTo>
              <a:lnTo>
                <a:pt x="12063" y="21600"/>
              </a:lnTo>
              <a:lnTo>
                <a:pt x="21600" y="0"/>
              </a:lnTo>
              <a:close/>
            </a:path>
          </a:pathLst>
        </a:custGeom>
        <a:solidFill>
          <a:srgbClr val="99CC00">
            <a:alpha val="30196"/>
          </a:srgbClr>
        </a:solidFill>
        <a:ln w="9525">
          <a:solidFill>
            <a:srgbClr val="99CC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0</xdr:colOff>
      <xdr:row>0</xdr:row>
      <xdr:rowOff>304800</xdr:rowOff>
    </xdr:to>
    <xdr:sp macro="" textlink="">
      <xdr:nvSpPr>
        <xdr:cNvPr id="40962" name="com_bar"/>
        <xdr:cNvSpPr>
          <a:spLocks noChangeArrowheads="1"/>
        </xdr:cNvSpPr>
      </xdr:nvSpPr>
      <xdr:spPr bwMode="auto">
        <a:xfrm>
          <a:off x="0" y="0"/>
          <a:ext cx="8296275" cy="304800"/>
        </a:xfrm>
        <a:prstGeom prst="rect">
          <a:avLst/>
        </a:prstGeom>
        <a:gradFill rotWithShape="1">
          <a:gsLst>
            <a:gs pos="0">
              <a:srgbClr val="477AB7"/>
            </a:gs>
            <a:gs pos="100000">
              <a:srgbClr val="B8CCE4"/>
            </a:gs>
          </a:gsLst>
          <a:lin ang="0" scaled="1"/>
        </a:gradFill>
        <a:ln w="9525">
          <a:solidFill>
            <a:srgbClr val="99CCFF"/>
          </a:solidFill>
          <a:miter lim="800000"/>
          <a:headEnd/>
          <a:tailEnd/>
        </a:ln>
      </xdr:spPr>
      <xdr:txBody>
        <a:bodyPr vertOverflow="clip" wrap="square" lIns="36576" tIns="36576" rIns="0" bIns="0" anchor="t" upright="1"/>
        <a:lstStyle/>
        <a:p>
          <a:pPr algn="ctr" rtl="0">
            <a:defRPr sz="1000"/>
          </a:pPr>
          <a:r>
            <a:rPr lang="it-IT" sz="1800" b="1" i="0" u="none" strike="noStrike" baseline="0">
              <a:solidFill>
                <a:srgbClr val="333333"/>
              </a:solidFill>
              <a:latin typeface="Calibri"/>
            </a:rPr>
            <a:t>Market data - STIR Futures</a:t>
          </a:r>
        </a:p>
        <a:p>
          <a:pPr algn="ctr" rtl="0">
            <a:defRPr sz="1000"/>
          </a:pPr>
          <a:endParaRPr lang="it-IT" sz="1800" b="1" i="0" u="none" strike="noStrike" baseline="0">
            <a:solidFill>
              <a:srgbClr val="333333"/>
            </a:solidFill>
            <a:latin typeface="Calibri"/>
          </a:endParaRPr>
        </a:p>
      </xdr:txBody>
    </xdr:sp>
    <xdr:clientData/>
  </xdr:twoCellAnchor>
  <xdr:twoCellAnchor>
    <xdr:from>
      <xdr:col>0</xdr:col>
      <xdr:colOff>104775</xdr:colOff>
      <xdr:row>0</xdr:row>
      <xdr:rowOff>57150</xdr:rowOff>
    </xdr:from>
    <xdr:to>
      <xdr:col>2</xdr:col>
      <xdr:colOff>0</xdr:colOff>
      <xdr:row>1</xdr:row>
      <xdr:rowOff>38100</xdr:rowOff>
    </xdr:to>
    <xdr:pic>
      <xdr:nvPicPr>
        <xdr:cNvPr id="40971" name="Picture 11" descr="RONDPOINTde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4471"/>
        <a:stretch>
          <a:fillRect/>
        </a:stretch>
      </xdr:blipFill>
      <xdr:spPr bwMode="auto">
        <a:xfrm>
          <a:off x="104775" y="57150"/>
          <a:ext cx="1857375" cy="533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16</xdr:col>
      <xdr:colOff>542925</xdr:colOff>
      <xdr:row>8</xdr:row>
      <xdr:rowOff>0</xdr:rowOff>
    </xdr:from>
    <xdr:to>
      <xdr:col>21</xdr:col>
      <xdr:colOff>285750</xdr:colOff>
      <xdr:row>14</xdr:row>
      <xdr:rowOff>142875</xdr:rowOff>
    </xdr:to>
    <xdr:sp macro="[0]!FreezeMarketData" textlink="">
      <xdr:nvSpPr>
        <xdr:cNvPr id="5" name="Rectangle 4"/>
        <xdr:cNvSpPr/>
      </xdr:nvSpPr>
      <xdr:spPr bwMode="auto">
        <a:xfrm>
          <a:off x="12306300" y="1714500"/>
          <a:ext cx="2505075" cy="1143000"/>
        </a:xfrm>
        <a:prstGeom prst="rect">
          <a:avLst/>
        </a:prstGeom>
        <a:solidFill>
          <a:srgbClr val="E0E0E0">
            <a:alpha val="85001"/>
          </a:srgbClr>
        </a:solidFill>
        <a:ln w="9525" cap="flat" cmpd="sng" algn="ctr">
          <a:solidFill>
            <a:srgbClr val="477AB7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it-IT" sz="2400" b="1" i="1"/>
            <a:t>FREEZE MARKET DATA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46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35841" name="AutoShape 93"/>
        <xdr:cNvSpPr>
          <a:spLocks noChangeArrowheads="1"/>
        </xdr:cNvSpPr>
      </xdr:nvSpPr>
      <xdr:spPr bwMode="auto">
        <a:xfrm rot="-5400000">
          <a:off x="8439150" y="7886700"/>
          <a:ext cx="0" cy="0"/>
        </a:xfrm>
        <a:custGeom>
          <a:avLst/>
          <a:gdLst>
            <a:gd name="T0" fmla="*/ 2147483647 w 21600"/>
            <a:gd name="T1" fmla="*/ 1011973773 h 21600"/>
            <a:gd name="T2" fmla="*/ 2147483647 w 21600"/>
            <a:gd name="T3" fmla="*/ 2023946092 h 21600"/>
            <a:gd name="T4" fmla="*/ 1493558625 w 21600"/>
            <a:gd name="T5" fmla="*/ 1011973773 h 21600"/>
            <a:gd name="T6" fmla="*/ 2147483647 w 21600"/>
            <a:gd name="T7" fmla="*/ 0 h 21600"/>
            <a:gd name="T8" fmla="*/ 0 60000 65536"/>
            <a:gd name="T9" fmla="*/ 0 60000 65536"/>
            <a:gd name="T10" fmla="*/ 0 60000 65536"/>
            <a:gd name="T11" fmla="*/ 0 60000 65536"/>
            <a:gd name="T12" fmla="*/ 6569 w 21600"/>
            <a:gd name="T13" fmla="*/ 6569 h 21600"/>
            <a:gd name="T14" fmla="*/ 15031 w 21600"/>
            <a:gd name="T15" fmla="*/ 15031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0" y="0"/>
              </a:moveTo>
              <a:lnTo>
                <a:pt x="9537" y="21600"/>
              </a:lnTo>
              <a:lnTo>
                <a:pt x="12063" y="21600"/>
              </a:lnTo>
              <a:lnTo>
                <a:pt x="21600" y="0"/>
              </a:lnTo>
              <a:close/>
            </a:path>
          </a:pathLst>
        </a:custGeom>
        <a:solidFill>
          <a:srgbClr val="99CC00">
            <a:alpha val="30196"/>
          </a:srgbClr>
        </a:solidFill>
        <a:ln w="9525">
          <a:solidFill>
            <a:srgbClr val="99CC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0</xdr:colOff>
      <xdr:row>0</xdr:row>
      <xdr:rowOff>304800</xdr:rowOff>
    </xdr:to>
    <xdr:sp macro="" textlink="">
      <xdr:nvSpPr>
        <xdr:cNvPr id="35842" name="com_bar"/>
        <xdr:cNvSpPr>
          <a:spLocks noChangeArrowheads="1"/>
        </xdr:cNvSpPr>
      </xdr:nvSpPr>
      <xdr:spPr bwMode="auto">
        <a:xfrm>
          <a:off x="0" y="0"/>
          <a:ext cx="9420225" cy="304800"/>
        </a:xfrm>
        <a:prstGeom prst="rect">
          <a:avLst/>
        </a:prstGeom>
        <a:gradFill rotWithShape="1">
          <a:gsLst>
            <a:gs pos="0">
              <a:srgbClr val="477AB7"/>
            </a:gs>
            <a:gs pos="100000">
              <a:srgbClr val="B8CCE4"/>
            </a:gs>
          </a:gsLst>
          <a:lin ang="0" scaled="1"/>
        </a:gradFill>
        <a:ln w="9525">
          <a:solidFill>
            <a:srgbClr val="99CCFF"/>
          </a:solidFill>
          <a:miter lim="800000"/>
          <a:headEnd/>
          <a:tailEnd/>
        </a:ln>
      </xdr:spPr>
      <xdr:txBody>
        <a:bodyPr vertOverflow="clip" wrap="square" lIns="36576" tIns="36576" rIns="0" bIns="0" anchor="t" upright="1"/>
        <a:lstStyle/>
        <a:p>
          <a:pPr algn="ctr" rtl="0">
            <a:defRPr sz="1000"/>
          </a:pPr>
          <a:r>
            <a:rPr lang="it-IT" sz="1800" b="1" i="0" u="none" strike="noStrike" baseline="0">
              <a:solidFill>
                <a:srgbClr val="333333"/>
              </a:solidFill>
              <a:latin typeface="Calibri"/>
            </a:rPr>
            <a:t>Market data - EONIA Swaps</a:t>
          </a:r>
        </a:p>
        <a:p>
          <a:pPr algn="ctr" rtl="0">
            <a:defRPr sz="1000"/>
          </a:pPr>
          <a:endParaRPr lang="it-IT" sz="1800" b="1" i="0" u="none" strike="noStrike" baseline="0">
            <a:solidFill>
              <a:srgbClr val="333333"/>
            </a:solidFill>
            <a:latin typeface="Calibri"/>
          </a:endParaRPr>
        </a:p>
      </xdr:txBody>
    </xdr:sp>
    <xdr:clientData/>
  </xdr:twoCellAnchor>
  <xdr:twoCellAnchor>
    <xdr:from>
      <xdr:col>0</xdr:col>
      <xdr:colOff>19050</xdr:colOff>
      <xdr:row>0</xdr:row>
      <xdr:rowOff>28575</xdr:rowOff>
    </xdr:from>
    <xdr:to>
      <xdr:col>2</xdr:col>
      <xdr:colOff>457200</xdr:colOff>
      <xdr:row>1</xdr:row>
      <xdr:rowOff>9525</xdr:rowOff>
    </xdr:to>
    <xdr:pic>
      <xdr:nvPicPr>
        <xdr:cNvPr id="35851" name="Picture 11" descr="RONDPOINTde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4471"/>
        <a:stretch>
          <a:fillRect/>
        </a:stretch>
      </xdr:blipFill>
      <xdr:spPr bwMode="auto">
        <a:xfrm>
          <a:off x="19050" y="28575"/>
          <a:ext cx="1619250" cy="533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50</xdr:row>
      <xdr:rowOff>0</xdr:rowOff>
    </xdr:from>
    <xdr:to>
      <xdr:col>12</xdr:col>
      <xdr:colOff>0</xdr:colOff>
      <xdr:row>50</xdr:row>
      <xdr:rowOff>0</xdr:rowOff>
    </xdr:to>
    <xdr:sp macro="" textlink="">
      <xdr:nvSpPr>
        <xdr:cNvPr id="36865" name="AutoShape 93"/>
        <xdr:cNvSpPr>
          <a:spLocks noChangeArrowheads="1"/>
        </xdr:cNvSpPr>
      </xdr:nvSpPr>
      <xdr:spPr bwMode="auto">
        <a:xfrm rot="-5400000">
          <a:off x="10401300" y="8534400"/>
          <a:ext cx="0" cy="0"/>
        </a:xfrm>
        <a:custGeom>
          <a:avLst/>
          <a:gdLst>
            <a:gd name="T0" fmla="*/ 2147483647 w 21600"/>
            <a:gd name="T1" fmla="*/ 1011973773 h 21600"/>
            <a:gd name="T2" fmla="*/ 2147483647 w 21600"/>
            <a:gd name="T3" fmla="*/ 2023946092 h 21600"/>
            <a:gd name="T4" fmla="*/ 1493558625 w 21600"/>
            <a:gd name="T5" fmla="*/ 1011973773 h 21600"/>
            <a:gd name="T6" fmla="*/ 2147483647 w 21600"/>
            <a:gd name="T7" fmla="*/ 0 h 21600"/>
            <a:gd name="T8" fmla="*/ 0 60000 65536"/>
            <a:gd name="T9" fmla="*/ 0 60000 65536"/>
            <a:gd name="T10" fmla="*/ 0 60000 65536"/>
            <a:gd name="T11" fmla="*/ 0 60000 65536"/>
            <a:gd name="T12" fmla="*/ 6569 w 21600"/>
            <a:gd name="T13" fmla="*/ 6569 h 21600"/>
            <a:gd name="T14" fmla="*/ 15031 w 21600"/>
            <a:gd name="T15" fmla="*/ 15031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0" y="0"/>
              </a:moveTo>
              <a:lnTo>
                <a:pt x="9537" y="21600"/>
              </a:lnTo>
              <a:lnTo>
                <a:pt x="12063" y="21600"/>
              </a:lnTo>
              <a:lnTo>
                <a:pt x="21600" y="0"/>
              </a:lnTo>
              <a:close/>
            </a:path>
          </a:pathLst>
        </a:custGeom>
        <a:solidFill>
          <a:srgbClr val="99CC00">
            <a:alpha val="30196"/>
          </a:srgbClr>
        </a:solidFill>
        <a:ln w="9525">
          <a:solidFill>
            <a:srgbClr val="99CC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0</xdr:colOff>
      <xdr:row>0</xdr:row>
      <xdr:rowOff>304800</xdr:rowOff>
    </xdr:to>
    <xdr:sp macro="" textlink="">
      <xdr:nvSpPr>
        <xdr:cNvPr id="36866" name="com_bar"/>
        <xdr:cNvSpPr>
          <a:spLocks noChangeArrowheads="1"/>
        </xdr:cNvSpPr>
      </xdr:nvSpPr>
      <xdr:spPr bwMode="auto">
        <a:xfrm>
          <a:off x="0" y="0"/>
          <a:ext cx="9420225" cy="304800"/>
        </a:xfrm>
        <a:prstGeom prst="rect">
          <a:avLst/>
        </a:prstGeom>
        <a:gradFill rotWithShape="1">
          <a:gsLst>
            <a:gs pos="0">
              <a:srgbClr val="477AB7"/>
            </a:gs>
            <a:gs pos="100000">
              <a:srgbClr val="B8CCE4"/>
            </a:gs>
          </a:gsLst>
          <a:lin ang="0" scaled="1"/>
        </a:gradFill>
        <a:ln w="9525">
          <a:solidFill>
            <a:srgbClr val="99CCFF"/>
          </a:solidFill>
          <a:miter lim="800000"/>
          <a:headEnd/>
          <a:tailEnd/>
        </a:ln>
      </xdr:spPr>
      <xdr:txBody>
        <a:bodyPr vertOverflow="clip" wrap="square" lIns="36576" tIns="36576" rIns="0" bIns="0" anchor="t" upright="1"/>
        <a:lstStyle/>
        <a:p>
          <a:pPr algn="ctr" rtl="0">
            <a:defRPr sz="1000"/>
          </a:pPr>
          <a:r>
            <a:rPr lang="it-IT" sz="1800" b="1" i="0" u="none" strike="noStrike" baseline="0">
              <a:solidFill>
                <a:srgbClr val="333333"/>
              </a:solidFill>
              <a:latin typeface="Calibri"/>
            </a:rPr>
            <a:t>Market data - LIBOR Deposits, FRA, Futures, Swaps</a:t>
          </a:r>
        </a:p>
        <a:p>
          <a:pPr algn="ctr" rtl="0">
            <a:defRPr sz="1000"/>
          </a:pPr>
          <a:endParaRPr lang="it-IT" sz="1800" b="1" i="0" u="none" strike="noStrike" baseline="0">
            <a:solidFill>
              <a:srgbClr val="333333"/>
            </a:solidFill>
            <a:latin typeface="Calibri"/>
          </a:endParaRPr>
        </a:p>
      </xdr:txBody>
    </xdr:sp>
    <xdr:clientData/>
  </xdr:twoCellAnchor>
  <xdr:twoCellAnchor>
    <xdr:from>
      <xdr:col>0</xdr:col>
      <xdr:colOff>19050</xdr:colOff>
      <xdr:row>0</xdr:row>
      <xdr:rowOff>28575</xdr:rowOff>
    </xdr:from>
    <xdr:to>
      <xdr:col>2</xdr:col>
      <xdr:colOff>457200</xdr:colOff>
      <xdr:row>1</xdr:row>
      <xdr:rowOff>9525</xdr:rowOff>
    </xdr:to>
    <xdr:pic>
      <xdr:nvPicPr>
        <xdr:cNvPr id="36876" name="Picture 12" descr="RONDPOINTde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4471"/>
        <a:stretch>
          <a:fillRect/>
        </a:stretch>
      </xdr:blipFill>
      <xdr:spPr bwMode="auto">
        <a:xfrm>
          <a:off x="19050" y="28575"/>
          <a:ext cx="1619250" cy="533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56</xdr:row>
      <xdr:rowOff>0</xdr:rowOff>
    </xdr:from>
    <xdr:to>
      <xdr:col>12</xdr:col>
      <xdr:colOff>0</xdr:colOff>
      <xdr:row>56</xdr:row>
      <xdr:rowOff>0</xdr:rowOff>
    </xdr:to>
    <xdr:sp macro="" textlink="">
      <xdr:nvSpPr>
        <xdr:cNvPr id="37889" name="AutoShape 93"/>
        <xdr:cNvSpPr>
          <a:spLocks noChangeArrowheads="1"/>
        </xdr:cNvSpPr>
      </xdr:nvSpPr>
      <xdr:spPr bwMode="auto">
        <a:xfrm rot="-5400000">
          <a:off x="10401300" y="9505950"/>
          <a:ext cx="0" cy="0"/>
        </a:xfrm>
        <a:custGeom>
          <a:avLst/>
          <a:gdLst>
            <a:gd name="T0" fmla="*/ 2147483647 w 21600"/>
            <a:gd name="T1" fmla="*/ 1011973773 h 21600"/>
            <a:gd name="T2" fmla="*/ 2147483647 w 21600"/>
            <a:gd name="T3" fmla="*/ 2023946092 h 21600"/>
            <a:gd name="T4" fmla="*/ 1493558625 w 21600"/>
            <a:gd name="T5" fmla="*/ 1011973773 h 21600"/>
            <a:gd name="T6" fmla="*/ 2147483647 w 21600"/>
            <a:gd name="T7" fmla="*/ 0 h 21600"/>
            <a:gd name="T8" fmla="*/ 0 60000 65536"/>
            <a:gd name="T9" fmla="*/ 0 60000 65536"/>
            <a:gd name="T10" fmla="*/ 0 60000 65536"/>
            <a:gd name="T11" fmla="*/ 0 60000 65536"/>
            <a:gd name="T12" fmla="*/ 6569 w 21600"/>
            <a:gd name="T13" fmla="*/ 6569 h 21600"/>
            <a:gd name="T14" fmla="*/ 15031 w 21600"/>
            <a:gd name="T15" fmla="*/ 15031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0" y="0"/>
              </a:moveTo>
              <a:lnTo>
                <a:pt x="9537" y="21600"/>
              </a:lnTo>
              <a:lnTo>
                <a:pt x="12063" y="21600"/>
              </a:lnTo>
              <a:lnTo>
                <a:pt x="21600" y="0"/>
              </a:lnTo>
              <a:close/>
            </a:path>
          </a:pathLst>
        </a:custGeom>
        <a:solidFill>
          <a:srgbClr val="99CC00">
            <a:alpha val="30196"/>
          </a:srgbClr>
        </a:solidFill>
        <a:ln w="9525">
          <a:solidFill>
            <a:srgbClr val="99CC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0</xdr:colOff>
      <xdr:row>0</xdr:row>
      <xdr:rowOff>304800</xdr:rowOff>
    </xdr:to>
    <xdr:sp macro="" textlink="">
      <xdr:nvSpPr>
        <xdr:cNvPr id="37890" name="com_bar"/>
        <xdr:cNvSpPr>
          <a:spLocks noChangeArrowheads="1"/>
        </xdr:cNvSpPr>
      </xdr:nvSpPr>
      <xdr:spPr bwMode="auto">
        <a:xfrm>
          <a:off x="0" y="0"/>
          <a:ext cx="9420225" cy="304800"/>
        </a:xfrm>
        <a:prstGeom prst="rect">
          <a:avLst/>
        </a:prstGeom>
        <a:gradFill rotWithShape="1">
          <a:gsLst>
            <a:gs pos="0">
              <a:srgbClr val="477AB7"/>
            </a:gs>
            <a:gs pos="100000">
              <a:srgbClr val="B8CCE4"/>
            </a:gs>
          </a:gsLst>
          <a:lin ang="0" scaled="1"/>
        </a:gradFill>
        <a:ln w="9525">
          <a:solidFill>
            <a:srgbClr val="99CCFF"/>
          </a:solidFill>
          <a:miter lim="800000"/>
          <a:headEnd/>
          <a:tailEnd/>
        </a:ln>
      </xdr:spPr>
      <xdr:txBody>
        <a:bodyPr vertOverflow="clip" wrap="square" lIns="36576" tIns="36576" rIns="0" bIns="0" anchor="t" upright="1"/>
        <a:lstStyle/>
        <a:p>
          <a:pPr algn="ctr" rtl="0">
            <a:defRPr sz="1000"/>
          </a:pPr>
          <a:r>
            <a:rPr lang="it-IT" sz="1800" b="1" i="0" u="none" strike="noStrike" baseline="0">
              <a:solidFill>
                <a:srgbClr val="333333"/>
              </a:solidFill>
              <a:latin typeface="Calibri"/>
            </a:rPr>
            <a:t>Market data - LIBOR Deposits, FRA, Futures, Swaps</a:t>
          </a:r>
        </a:p>
        <a:p>
          <a:pPr algn="ctr" rtl="0">
            <a:defRPr sz="1000"/>
          </a:pPr>
          <a:endParaRPr lang="it-IT" sz="1800" b="1" i="0" u="none" strike="noStrike" baseline="0">
            <a:solidFill>
              <a:srgbClr val="333333"/>
            </a:solidFill>
            <a:latin typeface="Calibri"/>
          </a:endParaRPr>
        </a:p>
      </xdr:txBody>
    </xdr:sp>
    <xdr:clientData/>
  </xdr:twoCellAnchor>
  <xdr:twoCellAnchor>
    <xdr:from>
      <xdr:col>0</xdr:col>
      <xdr:colOff>19050</xdr:colOff>
      <xdr:row>0</xdr:row>
      <xdr:rowOff>28575</xdr:rowOff>
    </xdr:from>
    <xdr:to>
      <xdr:col>2</xdr:col>
      <xdr:colOff>457200</xdr:colOff>
      <xdr:row>1</xdr:row>
      <xdr:rowOff>9525</xdr:rowOff>
    </xdr:to>
    <xdr:pic>
      <xdr:nvPicPr>
        <xdr:cNvPr id="37902" name="Picture 14" descr="RONDPOINTde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4471"/>
        <a:stretch>
          <a:fillRect/>
        </a:stretch>
      </xdr:blipFill>
      <xdr:spPr bwMode="auto">
        <a:xfrm>
          <a:off x="19050" y="28575"/>
          <a:ext cx="1619250" cy="533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56</xdr:row>
      <xdr:rowOff>0</xdr:rowOff>
    </xdr:from>
    <xdr:to>
      <xdr:col>12</xdr:col>
      <xdr:colOff>0</xdr:colOff>
      <xdr:row>56</xdr:row>
      <xdr:rowOff>0</xdr:rowOff>
    </xdr:to>
    <xdr:sp macro="" textlink="">
      <xdr:nvSpPr>
        <xdr:cNvPr id="41985" name="AutoShape 93"/>
        <xdr:cNvSpPr>
          <a:spLocks noChangeArrowheads="1"/>
        </xdr:cNvSpPr>
      </xdr:nvSpPr>
      <xdr:spPr bwMode="auto">
        <a:xfrm rot="-5400000">
          <a:off x="9953625" y="9725025"/>
          <a:ext cx="0" cy="0"/>
        </a:xfrm>
        <a:custGeom>
          <a:avLst/>
          <a:gdLst>
            <a:gd name="T0" fmla="*/ 2147483647 w 21600"/>
            <a:gd name="T1" fmla="*/ 1011973773 h 21600"/>
            <a:gd name="T2" fmla="*/ 2147483647 w 21600"/>
            <a:gd name="T3" fmla="*/ 2023946092 h 21600"/>
            <a:gd name="T4" fmla="*/ 1493558625 w 21600"/>
            <a:gd name="T5" fmla="*/ 1011973773 h 21600"/>
            <a:gd name="T6" fmla="*/ 2147483647 w 21600"/>
            <a:gd name="T7" fmla="*/ 0 h 21600"/>
            <a:gd name="T8" fmla="*/ 0 60000 65536"/>
            <a:gd name="T9" fmla="*/ 0 60000 65536"/>
            <a:gd name="T10" fmla="*/ 0 60000 65536"/>
            <a:gd name="T11" fmla="*/ 0 60000 65536"/>
            <a:gd name="T12" fmla="*/ 6569 w 21600"/>
            <a:gd name="T13" fmla="*/ 6569 h 21600"/>
            <a:gd name="T14" fmla="*/ 15031 w 21600"/>
            <a:gd name="T15" fmla="*/ 15031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0" y="0"/>
              </a:moveTo>
              <a:lnTo>
                <a:pt x="9537" y="21600"/>
              </a:lnTo>
              <a:lnTo>
                <a:pt x="12063" y="21600"/>
              </a:lnTo>
              <a:lnTo>
                <a:pt x="21600" y="0"/>
              </a:lnTo>
              <a:close/>
            </a:path>
          </a:pathLst>
        </a:custGeom>
        <a:solidFill>
          <a:srgbClr val="99CC00">
            <a:alpha val="30196"/>
          </a:srgbClr>
        </a:solidFill>
        <a:ln w="9525">
          <a:solidFill>
            <a:srgbClr val="99CC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0</xdr:colOff>
      <xdr:row>0</xdr:row>
      <xdr:rowOff>304800</xdr:rowOff>
    </xdr:to>
    <xdr:sp macro="" textlink="">
      <xdr:nvSpPr>
        <xdr:cNvPr id="41986" name="com_bar"/>
        <xdr:cNvSpPr>
          <a:spLocks noChangeArrowheads="1"/>
        </xdr:cNvSpPr>
      </xdr:nvSpPr>
      <xdr:spPr bwMode="auto">
        <a:xfrm>
          <a:off x="0" y="0"/>
          <a:ext cx="8296275" cy="304800"/>
        </a:xfrm>
        <a:prstGeom prst="rect">
          <a:avLst/>
        </a:prstGeom>
        <a:gradFill rotWithShape="1">
          <a:gsLst>
            <a:gs pos="0">
              <a:srgbClr val="477AB7"/>
            </a:gs>
            <a:gs pos="100000">
              <a:srgbClr val="B8CCE4"/>
            </a:gs>
          </a:gsLst>
          <a:lin ang="0" scaled="1"/>
        </a:gradFill>
        <a:ln w="9525">
          <a:solidFill>
            <a:srgbClr val="99CCFF"/>
          </a:solidFill>
          <a:miter lim="800000"/>
          <a:headEnd/>
          <a:tailEnd/>
        </a:ln>
      </xdr:spPr>
      <xdr:txBody>
        <a:bodyPr vertOverflow="clip" wrap="square" lIns="36576" tIns="36576" rIns="0" bIns="0" anchor="t" upright="1"/>
        <a:lstStyle/>
        <a:p>
          <a:pPr algn="ctr" rtl="0">
            <a:defRPr sz="1000"/>
          </a:pPr>
          <a:r>
            <a:rPr lang="it-IT" sz="1800" b="1" i="0" u="none" strike="noStrike" baseline="0">
              <a:solidFill>
                <a:srgbClr val="333333"/>
              </a:solidFill>
              <a:latin typeface="Calibri"/>
            </a:rPr>
            <a:t>Market data - STIR Futures</a:t>
          </a:r>
        </a:p>
        <a:p>
          <a:pPr algn="ctr" rtl="0">
            <a:defRPr sz="1000"/>
          </a:pPr>
          <a:endParaRPr lang="it-IT" sz="1800" b="1" i="0" u="none" strike="noStrike" baseline="0">
            <a:solidFill>
              <a:srgbClr val="333333"/>
            </a:solidFill>
            <a:latin typeface="Calibri"/>
          </a:endParaRPr>
        </a:p>
      </xdr:txBody>
    </xdr:sp>
    <xdr:clientData/>
  </xdr:twoCellAnchor>
  <xdr:twoCellAnchor>
    <xdr:from>
      <xdr:col>0</xdr:col>
      <xdr:colOff>104775</xdr:colOff>
      <xdr:row>0</xdr:row>
      <xdr:rowOff>57150</xdr:rowOff>
    </xdr:from>
    <xdr:to>
      <xdr:col>2</xdr:col>
      <xdr:colOff>0</xdr:colOff>
      <xdr:row>1</xdr:row>
      <xdr:rowOff>38100</xdr:rowOff>
    </xdr:to>
    <xdr:pic>
      <xdr:nvPicPr>
        <xdr:cNvPr id="41988" name="Picture 4" descr="RONDPOINTde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4471"/>
        <a:stretch>
          <a:fillRect/>
        </a:stretch>
      </xdr:blipFill>
      <xdr:spPr bwMode="auto">
        <a:xfrm>
          <a:off x="104775" y="57150"/>
          <a:ext cx="1857375" cy="533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lp/API/dde/blph.xla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</sheetNames>
    <definedNames>
      <definedName name="blptoday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E0E0E0">
            <a:alpha val="85001"/>
          </a:srgbClr>
        </a:solidFill>
        <a:ln w="9525" cap="flat" cmpd="sng" algn="ctr">
          <a:solidFill>
            <a:srgbClr val="477AB7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E0E0E0">
            <a:alpha val="85001"/>
          </a:srgbClr>
        </a:solidFill>
        <a:ln w="9525" cap="flat" cmpd="sng" algn="ctr">
          <a:solidFill>
            <a:srgbClr val="477AB7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oglio6" enableFormatConditionsCalculation="0">
    <tabColor indexed="48"/>
    <pageSetUpPr autoPageBreaks="0"/>
  </sheetPr>
  <dimension ref="A1:AF48"/>
  <sheetViews>
    <sheetView showGridLines="0" zoomScale="80" workbookViewId="0">
      <pane ySplit="8" topLeftCell="A9" activePane="bottomLeft" state="frozenSplit"/>
      <selection activeCell="D7" sqref="D7"/>
      <selection pane="bottomLeft" activeCell="D6" sqref="D6"/>
    </sheetView>
  </sheetViews>
  <sheetFormatPr defaultColWidth="0" defaultRowHeight="12.75"/>
  <cols>
    <col min="1" max="1" width="8" customWidth="1"/>
    <col min="2" max="2" width="9.7109375" customWidth="1"/>
    <col min="3" max="3" width="19.7109375" customWidth="1"/>
    <col min="4" max="5" width="11.7109375" customWidth="1"/>
    <col min="6" max="6" width="11.7109375" style="1" customWidth="1"/>
    <col min="7" max="7" width="12.7109375" style="1" customWidth="1"/>
    <col min="8" max="9" width="13.28515625" customWidth="1"/>
    <col min="10" max="10" width="14.7109375" style="3" customWidth="1"/>
    <col min="11" max="12" width="14.7109375" customWidth="1"/>
    <col min="13" max="13" width="14.28515625" customWidth="1"/>
    <col min="14" max="14" width="11.28515625" customWidth="1"/>
    <col min="15" max="15" width="3.42578125" customWidth="1"/>
    <col min="16" max="16" width="8.5703125" customWidth="1"/>
    <col min="18" max="18" width="8" bestFit="1" customWidth="1"/>
    <col min="19" max="19" width="8.5703125" customWidth="1"/>
    <col min="20" max="20" width="12.28515625" customWidth="1"/>
    <col min="21" max="21" width="3" customWidth="1"/>
    <col min="22" max="22" width="5.5703125" customWidth="1"/>
    <col min="23" max="23" width="7.7109375" customWidth="1"/>
    <col min="24" max="24" width="6.5703125" customWidth="1"/>
    <col min="25" max="25" width="9.5703125" customWidth="1"/>
    <col min="26" max="26" width="10.28515625" customWidth="1"/>
    <col min="27" max="27" width="10.7109375" customWidth="1"/>
    <col min="29" max="29" width="13.85546875" customWidth="1"/>
    <col min="31" max="31" width="10.42578125" customWidth="1"/>
    <col min="32" max="32" width="7.28515625" customWidth="1"/>
  </cols>
  <sheetData>
    <row r="1" spans="1:32" ht="43.5" customHeight="1">
      <c r="B1" s="5"/>
      <c r="C1" s="5"/>
      <c r="M1" s="18" t="s">
        <v>61</v>
      </c>
      <c r="P1" s="6" t="s">
        <v>36</v>
      </c>
      <c r="R1" s="6"/>
      <c r="S1" s="4" t="s">
        <v>39</v>
      </c>
      <c r="T1" s="4" t="s">
        <v>40</v>
      </c>
      <c r="U1" s="4" t="s">
        <v>42</v>
      </c>
      <c r="V1" s="4" t="s">
        <v>6</v>
      </c>
      <c r="W1" s="4" t="s">
        <v>43</v>
      </c>
      <c r="X1" s="4" t="s">
        <v>5</v>
      </c>
      <c r="Y1" s="4" t="s">
        <v>53</v>
      </c>
      <c r="Z1" s="4" t="s">
        <v>52</v>
      </c>
      <c r="AA1" s="4" t="s">
        <v>54</v>
      </c>
      <c r="AC1" s="6" t="s">
        <v>64</v>
      </c>
      <c r="AE1" s="6" t="s">
        <v>63</v>
      </c>
      <c r="AF1" s="6" t="s">
        <v>73</v>
      </c>
    </row>
    <row r="2" spans="1:32" ht="13.5" customHeight="1">
      <c r="A2" s="5"/>
      <c r="B2" s="51"/>
      <c r="C2" s="51"/>
      <c r="G2" s="17" t="s">
        <v>59</v>
      </c>
      <c r="H2" s="2"/>
      <c r="I2" s="2"/>
      <c r="M2" s="18" t="s">
        <v>62</v>
      </c>
      <c r="N2" s="9" t="s">
        <v>68</v>
      </c>
      <c r="O2" s="6">
        <v>1</v>
      </c>
      <c r="P2" s="6" t="s">
        <v>34</v>
      </c>
      <c r="R2" s="6" t="s">
        <v>77</v>
      </c>
      <c r="S2" s="4" t="s">
        <v>78</v>
      </c>
      <c r="T2" s="4" t="s">
        <v>79</v>
      </c>
      <c r="U2" s="4">
        <v>2</v>
      </c>
      <c r="V2" s="4" t="s">
        <v>34</v>
      </c>
      <c r="W2" s="4" t="s">
        <v>34</v>
      </c>
      <c r="X2" s="4" t="s">
        <v>37</v>
      </c>
      <c r="Y2" s="4" t="s">
        <v>78</v>
      </c>
      <c r="AC2" s="6"/>
      <c r="AE2" s="6"/>
    </row>
    <row r="3" spans="1:32">
      <c r="A3" s="5"/>
      <c r="B3" s="280"/>
      <c r="C3" s="281"/>
      <c r="D3" s="74" t="s">
        <v>77</v>
      </c>
      <c r="G3" s="13" t="s">
        <v>31</v>
      </c>
      <c r="H3" s="16" t="e">
        <f ca="1">[1]!blptoday()</f>
        <v>#NAME?</v>
      </c>
      <c r="I3" s="13" t="s">
        <v>25</v>
      </c>
      <c r="J3" s="85" t="e">
        <f ca="1">"CDR="&amp;J6</f>
        <v>#NAME?</v>
      </c>
      <c r="N3" s="9" t="s">
        <v>69</v>
      </c>
      <c r="O3" s="6">
        <v>2</v>
      </c>
      <c r="P3" s="6" t="s">
        <v>2</v>
      </c>
      <c r="R3" s="6" t="s">
        <v>38</v>
      </c>
      <c r="S3" s="4" t="s">
        <v>4</v>
      </c>
      <c r="T3" s="4" t="s">
        <v>41</v>
      </c>
      <c r="U3" s="4">
        <v>2</v>
      </c>
      <c r="V3" s="4" t="s">
        <v>34</v>
      </c>
      <c r="W3" s="4" t="s">
        <v>34</v>
      </c>
      <c r="X3" s="7" t="s">
        <v>37</v>
      </c>
      <c r="Y3" s="4" t="s">
        <v>4</v>
      </c>
      <c r="AC3" s="6" t="s">
        <v>45</v>
      </c>
      <c r="AE3" s="6" t="s">
        <v>56</v>
      </c>
      <c r="AF3" s="6">
        <v>1</v>
      </c>
    </row>
    <row r="4" spans="1:32">
      <c r="B4" s="282" t="s">
        <v>124</v>
      </c>
      <c r="C4" s="283"/>
      <c r="D4" s="74" t="s">
        <v>163</v>
      </c>
      <c r="G4" s="14" t="str">
        <f>"T+"&amp;INDEX($U$2:$U$3,MATCH($D$3,$R$2:$R$3,FALSE))</f>
        <v>T+2</v>
      </c>
      <c r="H4" s="75" t="e">
        <f ca="1">_xll.BAddPeriods($H$3,"Per=wd","NumberOfPeriods="&amp;RIGHT(G4,1),$J$3)</f>
        <v>#NAME?</v>
      </c>
      <c r="I4" s="14" t="s">
        <v>1</v>
      </c>
      <c r="J4" s="68" t="s">
        <v>33</v>
      </c>
      <c r="N4" s="9" t="s">
        <v>55</v>
      </c>
      <c r="O4" s="6">
        <v>4</v>
      </c>
      <c r="P4" s="8" t="s">
        <v>37</v>
      </c>
      <c r="R4" s="76" t="e">
        <f>RTD("bloomberg.ccyreader", "", "#track", "DBG", "XCLR", "1.1", 1)</f>
        <v>#N/A</v>
      </c>
      <c r="AC4" s="6" t="s">
        <v>65</v>
      </c>
      <c r="AE4" s="6" t="s">
        <v>35</v>
      </c>
      <c r="AF4" s="6">
        <v>5</v>
      </c>
    </row>
    <row r="5" spans="1:32" ht="12.75" customHeight="1">
      <c r="A5" s="98">
        <f>D5*1000</f>
        <v>5000</v>
      </c>
      <c r="B5" s="280" t="s">
        <v>71</v>
      </c>
      <c r="C5" s="281"/>
      <c r="D5" s="74">
        <v>5</v>
      </c>
      <c r="E5" t="s">
        <v>72</v>
      </c>
      <c r="F5" s="68"/>
      <c r="G5" s="15" t="s">
        <v>44</v>
      </c>
      <c r="H5" s="68" t="str">
        <f>D4</f>
        <v>BXSW</v>
      </c>
      <c r="I5" s="15" t="s">
        <v>46</v>
      </c>
      <c r="J5" s="69" t="e">
        <f ca="1">_xll.BDP(D3&amp;" Curncy","BB_CRNCY_CODE")</f>
        <v>#NAME?</v>
      </c>
      <c r="N5" s="9" t="s">
        <v>70</v>
      </c>
      <c r="O5" s="6">
        <v>12</v>
      </c>
      <c r="AC5" s="6" t="s">
        <v>66</v>
      </c>
      <c r="AE5" s="6" t="s">
        <v>57</v>
      </c>
      <c r="AF5" s="6">
        <v>10</v>
      </c>
    </row>
    <row r="6" spans="1:32">
      <c r="D6" s="270">
        <f>+get_static_date()</f>
        <v>41972</v>
      </c>
      <c r="E6" s="271">
        <f ca="1">NOW()</f>
        <v>41972.559202430559</v>
      </c>
      <c r="F6" s="68"/>
      <c r="G6" s="70" t="s">
        <v>43</v>
      </c>
      <c r="H6" s="72" t="str">
        <f>INDEX($T$2:$T$3,MATCH($D$3,$R$2:$R$3,FALSE))</f>
        <v>ER</v>
      </c>
      <c r="I6" s="71" t="s">
        <v>76</v>
      </c>
      <c r="J6" s="72" t="e">
        <f ca="1">_xll.BDP(D3&amp;" Curncy","CALENDAR_CODE")</f>
        <v>#NAME?</v>
      </c>
      <c r="AC6" s="6" t="s">
        <v>102</v>
      </c>
      <c r="AE6" s="6"/>
      <c r="AF6" s="6">
        <v>60</v>
      </c>
    </row>
    <row r="7" spans="1:32" ht="13.5" customHeight="1">
      <c r="A7" s="3"/>
      <c r="B7" s="3"/>
      <c r="C7" s="3"/>
      <c r="D7" s="3"/>
      <c r="E7" s="3"/>
      <c r="AC7" s="6" t="s">
        <v>163</v>
      </c>
      <c r="AE7" s="6"/>
    </row>
    <row r="8" spans="1:32" ht="13.5" customHeight="1">
      <c r="A8" s="60"/>
      <c r="B8" s="58"/>
      <c r="C8" s="59"/>
      <c r="D8" s="5"/>
      <c r="AC8" s="6" t="s">
        <v>67</v>
      </c>
    </row>
    <row r="9" spans="1:32" ht="13.5" customHeight="1">
      <c r="L9" s="88"/>
      <c r="AE9" s="119"/>
    </row>
    <row r="10" spans="1:32" ht="13.5" customHeight="1">
      <c r="A10" s="54" t="s">
        <v>75</v>
      </c>
      <c r="B10" s="54"/>
      <c r="C10" s="55"/>
      <c r="D10" s="55"/>
      <c r="E10" s="55"/>
      <c r="F10" s="55"/>
      <c r="G10" s="55"/>
      <c r="H10" s="56"/>
      <c r="I10" s="56"/>
      <c r="J10" s="57"/>
      <c r="L10" s="3"/>
    </row>
    <row r="11" spans="1:32">
      <c r="A11" s="10"/>
      <c r="B11" s="11"/>
      <c r="C11" s="11"/>
      <c r="D11" s="11" t="s">
        <v>57</v>
      </c>
      <c r="E11" s="11" t="s">
        <v>56</v>
      </c>
      <c r="F11" s="11" t="s">
        <v>35</v>
      </c>
      <c r="G11" s="12" t="s">
        <v>58</v>
      </c>
      <c r="H11" s="12" t="s">
        <v>60</v>
      </c>
      <c r="I11" s="12" t="s">
        <v>26</v>
      </c>
      <c r="J11" s="86" t="s">
        <v>74</v>
      </c>
      <c r="L11" s="67"/>
    </row>
    <row r="12" spans="1:32" ht="12.75" customHeight="1">
      <c r="A12" s="284" t="s">
        <v>93</v>
      </c>
      <c r="B12" s="39" t="s">
        <v>47</v>
      </c>
      <c r="C12" s="40" t="str">
        <f>"EUSWE1Z "  &amp;  $H$5 &amp;" Curncy"</f>
        <v>EUSWE1Z BXSW Curncy</v>
      </c>
      <c r="D12" s="41" t="e">
        <f ca="1">IF(ISNUMBER(_xll.BDP(C12,$D$11,"UpdFreq="&amp;$A$5)),(_xll.BDP(C12,$D$11,"UpdFreq="&amp;$A$5)+G12)/100,(_xll.BDP(C12,"LAST PRICE","UpdFreq="&amp;$A$5)+G12)/100)</f>
        <v>#NAME?</v>
      </c>
      <c r="E12" s="41" t="e">
        <f ca="1">IF(ISNUMBER(_xll.BDP(C12,$E$11,"UpdFreq="&amp;$A$5)),(_xll.BDP(C12,$E$11,"UpdFreq="&amp;$A$5)+G12)/100,(_xll.BDP(C12,"LAST PRICE","UpdFreq="&amp;$A$5)+G12)/100)</f>
        <v>#NAME?</v>
      </c>
      <c r="F12" s="45" t="e">
        <f ca="1">AVERAGE(D12,E12)</f>
        <v>#NAME?</v>
      </c>
      <c r="G12" s="73"/>
      <c r="H12" s="79">
        <f>VALUE(LEFT(B12,1))</f>
        <v>1</v>
      </c>
      <c r="I12" s="42" t="s">
        <v>28</v>
      </c>
      <c r="J12" s="83" t="e">
        <f ca="1">_xll.BAddPeriods($H$4,"Per="&amp;I12,"NumberOfPeriods="&amp;H12,$J$3,$J$4)</f>
        <v>#NAME?</v>
      </c>
      <c r="L12" s="89"/>
    </row>
    <row r="13" spans="1:32" ht="12.75" customHeight="1">
      <c r="A13" s="285"/>
      <c r="B13" s="43" t="s">
        <v>80</v>
      </c>
      <c r="C13" s="44" t="str">
        <f>"EUSWE2Z "  &amp;  $H$5 &amp;" Curncy"</f>
        <v>EUSWE2Z BXSW Curncy</v>
      </c>
      <c r="D13" s="45" t="e">
        <f ca="1">IF(ISNUMBER(_xll.BDP(C13,$D$11,"UpdFreq="&amp;$A$5)),(_xll.BDP(C13,$D$11,"UpdFreq="&amp;$A$5)+G13)/100,(_xll.BDP(C13,"LAST PRICE","UpdFreq="&amp;$A$5)+G13)/100)</f>
        <v>#NAME?</v>
      </c>
      <c r="E13" s="45" t="e">
        <f ca="1">IF(ISNUMBER(_xll.BDP(C13,$E$11,"UpdFreq="&amp;$A$5)),(_xll.BDP(C13,$E$11,"UpdFreq="&amp;$A$5)+G13)/100,(_xll.BDP(C13,"LAST PRICE","UpdFreq="&amp;$A$5)+G13)/100)</f>
        <v>#NAME?</v>
      </c>
      <c r="F13" s="45" t="e">
        <f ca="1">AVERAGE(D13,E13)</f>
        <v>#NAME?</v>
      </c>
      <c r="G13" s="73"/>
      <c r="H13" s="80">
        <f>VALUE(LEFT(B13,1))</f>
        <v>2</v>
      </c>
      <c r="I13" s="46" t="s">
        <v>28</v>
      </c>
      <c r="J13" s="81" t="e">
        <f ca="1">_xll.BAddPeriods($H$4,"Per="&amp;I13,"NumberOfPeriods="&amp;H13,$J$3,$J$4)</f>
        <v>#NAME?</v>
      </c>
      <c r="L13" s="89"/>
    </row>
    <row r="14" spans="1:32">
      <c r="A14" s="285"/>
      <c r="B14" s="43" t="s">
        <v>81</v>
      </c>
      <c r="C14" s="44" t="str">
        <f>"EUSWE3Z "  &amp;  $H$5 &amp;" Curncy"</f>
        <v>EUSWE3Z BXSW Curncy</v>
      </c>
      <c r="D14" s="45" t="e">
        <f ca="1">IF(ISNUMBER(_xll.BDP(C14,$D$11,"UpdFreq="&amp;$A$5)),(_xll.BDP(C14,$D$11,"UpdFreq="&amp;$A$5)+G14)/100,(_xll.BDP(C14,"LAST PRICE","UpdFreq="&amp;$A$5)+G14)/100)</f>
        <v>#NAME?</v>
      </c>
      <c r="E14" s="45" t="e">
        <f ca="1">IF(ISNUMBER(_xll.BDP(C14,$E$11,"UpdFreq="&amp;$A$5)),(_xll.BDP(C14,$E$11,"UpdFreq="&amp;$A$5)+G14)/100,(_xll.BDP(C14,"LAST PRICE","UpdFreq="&amp;$A$5)+G14)/100)</f>
        <v>#NAME?</v>
      </c>
      <c r="F14" s="45" t="e">
        <f t="shared" ref="F14:F44" ca="1" si="0">AVERAGE(D14,E14)</f>
        <v>#NAME?</v>
      </c>
      <c r="G14" s="73"/>
      <c r="H14" s="80">
        <f>VALUE(LEFT(B14,1))</f>
        <v>3</v>
      </c>
      <c r="I14" s="46" t="s">
        <v>28</v>
      </c>
      <c r="J14" s="81" t="e">
        <f ca="1">_xll.BAddPeriods($H$4,"Per="&amp;I14,"NumberOfPeriods="&amp;H14,$J$3,$J$4)</f>
        <v>#NAME?</v>
      </c>
      <c r="L14" s="89"/>
    </row>
    <row r="15" spans="1:32">
      <c r="A15" s="285"/>
      <c r="B15" s="43" t="s">
        <v>48</v>
      </c>
      <c r="C15" s="44" t="str">
        <f>"EUSWEA "  &amp;  $H$5 &amp;" Curncy"</f>
        <v>EUSWEA BXSW Curncy</v>
      </c>
      <c r="D15" s="45" t="e">
        <f ca="1">IF(ISNUMBER(_xll.BDP(C15,$D$11,"UpdFreq="&amp;$A$5)),(_xll.BDP(C15,$D$11,"UpdFreq="&amp;$A$5)+G15)/100,(_xll.BDP(C15,"LAST PRICE","UpdFreq="&amp;$A$5)+G15)/100)</f>
        <v>#NAME?</v>
      </c>
      <c r="E15" s="45" t="e">
        <f ca="1">IF(ISNUMBER(_xll.BDP(C15,$E$11,"UpdFreq="&amp;$A$5)),(_xll.BDP(C15,$E$11,"UpdFreq="&amp;$A$5)+G15)/100,(_xll.BDP(C15,"LAST PRICE","UpdFreq="&amp;$A$5)+G15)/100)</f>
        <v>#NAME?</v>
      </c>
      <c r="F15" s="45" t="e">
        <f t="shared" ca="1" si="0"/>
        <v>#NAME?</v>
      </c>
      <c r="G15" s="73"/>
      <c r="H15" s="80">
        <f>VALUE(LEFT(B15,1))</f>
        <v>1</v>
      </c>
      <c r="I15" s="46" t="s">
        <v>29</v>
      </c>
      <c r="J15" s="81" t="e">
        <f ca="1">_xll.BAddPeriods($H$4,"Per="&amp;I15,"NumberOfPeriods="&amp;H15,$J$3,$J$4)</f>
        <v>#NAME?</v>
      </c>
      <c r="L15" s="89"/>
    </row>
    <row r="16" spans="1:32">
      <c r="A16" s="285"/>
      <c r="B16" s="43" t="s">
        <v>49</v>
      </c>
      <c r="C16" s="44" t="str">
        <f>"EUSWEB "  &amp;  $H$5 &amp;" Curncy"</f>
        <v>EUSWEB BXSW Curncy</v>
      </c>
      <c r="D16" s="45" t="e">
        <f ca="1">IF(ISNUMBER(_xll.BDP(C16,$D$11,"UpdFreq="&amp;$A$5)),(_xll.BDP(C16,$D$11,"UpdFreq="&amp;$A$5)+G16)/100,(_xll.BDP(C16,"LAST PRICE","UpdFreq="&amp;$A$5)+G16)/100)</f>
        <v>#NAME?</v>
      </c>
      <c r="E16" s="45" t="e">
        <f ca="1">IF(ISNUMBER(_xll.BDP(C16,$E$11,"UpdFreq="&amp;$A$5)),(_xll.BDP(C16,$E$11,"UpdFreq="&amp;$A$5)+G16)/100,(_xll.BDP(C16,"LAST PRICE","UpdFreq="&amp;$A$5)+G16)/100)</f>
        <v>#NAME?</v>
      </c>
      <c r="F16" s="45" t="e">
        <f t="shared" ca="1" si="0"/>
        <v>#NAME?</v>
      </c>
      <c r="G16" s="73"/>
      <c r="H16" s="80">
        <f>VALUE(LEFT(B16,1))</f>
        <v>2</v>
      </c>
      <c r="I16" s="46" t="s">
        <v>29</v>
      </c>
      <c r="J16" s="81" t="e">
        <f ca="1">_xll.BAddPeriods($H$4,"Per="&amp;I16,"NumberOfPeriods="&amp;H16,$J$3,$J$4)</f>
        <v>#NAME?</v>
      </c>
      <c r="L16" s="89"/>
    </row>
    <row r="17" spans="1:12" ht="12.75" customHeight="1">
      <c r="A17" s="285"/>
      <c r="B17" s="43" t="s">
        <v>50</v>
      </c>
      <c r="C17" s="44" t="str">
        <f>"EUSWEC "  &amp;  $H$5 &amp;" Curncy"</f>
        <v>EUSWEC BXSW Curncy</v>
      </c>
      <c r="D17" s="45" t="e">
        <f ca="1">IF(ISNUMBER(_xll.BDP(C17,$D$11,"UpdFreq="&amp;$A$5)),(_xll.BDP(C17,$D$11,"UpdFreq="&amp;$A$5)+G17)/100,(_xll.BDP(C17,"LAST PRICE","UpdFreq="&amp;$A$5)+G17)/100)</f>
        <v>#NAME?</v>
      </c>
      <c r="E17" s="45" t="e">
        <f ca="1">IF(ISNUMBER(_xll.BDP(C17,$E$11,"UpdFreq="&amp;$A$5)),(_xll.BDP(C17,$E$11,"UpdFreq="&amp;$A$5)+G17)/100,(_xll.BDP(C17,"LAST PRICE","UpdFreq="&amp;$A$5)+G17)/100)</f>
        <v>#NAME?</v>
      </c>
      <c r="F17" s="45" t="e">
        <f t="shared" ca="1" si="0"/>
        <v>#NAME?</v>
      </c>
      <c r="G17" s="73"/>
      <c r="H17" s="80">
        <f t="shared" ref="H17:H23" si="1">VALUE(LEFT(B17,1))</f>
        <v>3</v>
      </c>
      <c r="I17" s="46" t="s">
        <v>29</v>
      </c>
      <c r="J17" s="81" t="e">
        <f ca="1">_xll.BAddPeriods($H$4,"Per="&amp;I17,"NumberOfPeriods="&amp;H17,$J$3,$J$4)</f>
        <v>#NAME?</v>
      </c>
      <c r="L17" s="89"/>
    </row>
    <row r="18" spans="1:12">
      <c r="A18" s="285"/>
      <c r="B18" s="43" t="s">
        <v>82</v>
      </c>
      <c r="C18" s="44" t="str">
        <f>"EUSWED "  &amp;  $H$5 &amp;" Curncy"</f>
        <v>EUSWED BXSW Curncy</v>
      </c>
      <c r="D18" s="45" t="e">
        <f ca="1">IF(ISNUMBER(_xll.BDP(C18,$D$11,"UpdFreq="&amp;$A$5)),(_xll.BDP(C18,$D$11,"UpdFreq="&amp;$A$5)+G18)/100,(_xll.BDP(C18,"LAST PRICE","UpdFreq="&amp;$A$5)+G18)/100)</f>
        <v>#NAME?</v>
      </c>
      <c r="E18" s="45" t="e">
        <f ca="1">IF(ISNUMBER(_xll.BDP(C18,$E$11,"UpdFreq="&amp;$A$5)),(_xll.BDP(C18,$E$11,"UpdFreq="&amp;$A$5)+G18)/100,(_xll.BDP(C18,"LAST PRICE","UpdFreq="&amp;$A$5)+G18)/100)</f>
        <v>#NAME?</v>
      </c>
      <c r="F18" s="45" t="e">
        <f t="shared" ca="1" si="0"/>
        <v>#NAME?</v>
      </c>
      <c r="G18" s="73"/>
      <c r="H18" s="80">
        <f t="shared" si="1"/>
        <v>4</v>
      </c>
      <c r="I18" s="46" t="s">
        <v>29</v>
      </c>
      <c r="J18" s="81" t="e">
        <f ca="1">_xll.BAddPeriods($H$4,"Per="&amp;I18,"NumberOfPeriods="&amp;H18,$J$3,$J$4)</f>
        <v>#NAME?</v>
      </c>
      <c r="L18" s="89"/>
    </row>
    <row r="19" spans="1:12">
      <c r="A19" s="285"/>
      <c r="B19" s="43" t="s">
        <v>83</v>
      </c>
      <c r="C19" s="44" t="str">
        <f>"EUSWEE  "  &amp;  $H$5 &amp;" Curncy"</f>
        <v>EUSWEE  BXSW Curncy</v>
      </c>
      <c r="D19" s="45" t="e">
        <f ca="1">IF(ISNUMBER(_xll.BDP(C19,$D$11,"UpdFreq="&amp;$A$5)),(_xll.BDP(C19,$D$11,"UpdFreq="&amp;$A$5)+G19)/100,(_xll.BDP(C19,"LAST PRICE","UpdFreq="&amp;$A$5)+G19)/100)</f>
        <v>#NAME?</v>
      </c>
      <c r="E19" s="45" t="e">
        <f ca="1">IF(ISNUMBER(_xll.BDP(C19,$E$11,"UpdFreq="&amp;$A$5)),(_xll.BDP(C19,$E$11,"UpdFreq="&amp;$A$5)+G19)/100,(_xll.BDP(C19,"LAST PRICE","UpdFreq="&amp;$A$5)+G19)/100)</f>
        <v>#NAME?</v>
      </c>
      <c r="F19" s="45" t="e">
        <f t="shared" ca="1" si="0"/>
        <v>#NAME?</v>
      </c>
      <c r="G19" s="73"/>
      <c r="H19" s="80">
        <f t="shared" si="1"/>
        <v>5</v>
      </c>
      <c r="I19" s="46" t="s">
        <v>29</v>
      </c>
      <c r="J19" s="81" t="e">
        <f ca="1">_xll.BAddPeriods($H$4,"Per="&amp;I19,"NumberOfPeriods="&amp;H19,$J$3,$J$4)</f>
        <v>#NAME?</v>
      </c>
      <c r="L19" s="89"/>
    </row>
    <row r="20" spans="1:12">
      <c r="A20" s="285"/>
      <c r="B20" s="43" t="s">
        <v>84</v>
      </c>
      <c r="C20" s="44" t="str">
        <f>"EUSWEF  "  &amp;  $H$5 &amp;" Curncy"</f>
        <v>EUSWEF  BXSW Curncy</v>
      </c>
      <c r="D20" s="45" t="e">
        <f ca="1">IF(ISNUMBER(_xll.BDP(C20,$D$11,"UpdFreq="&amp;$A$5)),(_xll.BDP(C20,$D$11,"UpdFreq="&amp;$A$5)+G20)/100,(_xll.BDP(C20,"LAST PRICE","UpdFreq="&amp;$A$5)+G20)/100)</f>
        <v>#NAME?</v>
      </c>
      <c r="E20" s="45" t="e">
        <f ca="1">IF(ISNUMBER(_xll.BDP(C20,$E$11,"UpdFreq="&amp;$A$5)),(_xll.BDP(C20,$E$11,"UpdFreq="&amp;$A$5)+G20)/100,(_xll.BDP(C20,"LAST PRICE","UpdFreq="&amp;$A$5)+G20)/100)</f>
        <v>#NAME?</v>
      </c>
      <c r="F20" s="45" t="e">
        <f t="shared" ca="1" si="0"/>
        <v>#NAME?</v>
      </c>
      <c r="G20" s="73"/>
      <c r="H20" s="80">
        <f t="shared" si="1"/>
        <v>6</v>
      </c>
      <c r="I20" s="46" t="s">
        <v>29</v>
      </c>
      <c r="J20" s="81" t="e">
        <f ca="1">_xll.BAddPeriods($H$4,"Per="&amp;I20,"NumberOfPeriods="&amp;H20,$J$3,$J$4)</f>
        <v>#NAME?</v>
      </c>
      <c r="L20" s="89"/>
    </row>
    <row r="21" spans="1:12">
      <c r="A21" s="285"/>
      <c r="B21" s="43" t="s">
        <v>85</v>
      </c>
      <c r="C21" s="44" t="str">
        <f>"EUSWEG "  &amp;  $H$5 &amp;" Curncy"</f>
        <v>EUSWEG BXSW Curncy</v>
      </c>
      <c r="D21" s="45" t="e">
        <f ca="1">IF(ISNUMBER(_xll.BDP(C21,$D$11,"UpdFreq="&amp;$A$5)),(_xll.BDP(C21,$D$11,"UpdFreq="&amp;$A$5)+G21)/100,(_xll.BDP(C21,"LAST PRICE","UpdFreq="&amp;$A$5)+G21)/100)</f>
        <v>#NAME?</v>
      </c>
      <c r="E21" s="45" t="e">
        <f ca="1">IF(ISNUMBER(_xll.BDP(C21,$E$11,"UpdFreq="&amp;$A$5)),(_xll.BDP(C21,$E$11,"UpdFreq="&amp;$A$5)+G21)/100,(_xll.BDP(C21,"LAST PRICE","UpdFreq="&amp;$A$5)+G21)/100)</f>
        <v>#NAME?</v>
      </c>
      <c r="F21" s="45" t="e">
        <f t="shared" ca="1" si="0"/>
        <v>#NAME?</v>
      </c>
      <c r="G21" s="73"/>
      <c r="H21" s="80">
        <f t="shared" si="1"/>
        <v>7</v>
      </c>
      <c r="I21" s="46" t="s">
        <v>29</v>
      </c>
      <c r="J21" s="81" t="e">
        <f ca="1">_xll.BAddPeriods($H$4,"Per="&amp;I21,"NumberOfPeriods="&amp;H21,$J$3,$J$4)</f>
        <v>#NAME?</v>
      </c>
      <c r="L21" s="89"/>
    </row>
    <row r="22" spans="1:12">
      <c r="A22" s="285"/>
      <c r="B22" s="43" t="s">
        <v>86</v>
      </c>
      <c r="C22" s="44" t="str">
        <f>"EUSWEH "  &amp;  $H$5 &amp;" Curncy"</f>
        <v>EUSWEH BXSW Curncy</v>
      </c>
      <c r="D22" s="45" t="e">
        <f ca="1">IF(ISNUMBER(_xll.BDP(C22,$D$11,"UpdFreq="&amp;$A$5)),(_xll.BDP(C22,$D$11,"UpdFreq="&amp;$A$5)+G22)/100,(_xll.BDP(C22,"LAST PRICE","UpdFreq="&amp;$A$5)+G22)/100)</f>
        <v>#NAME?</v>
      </c>
      <c r="E22" s="45" t="e">
        <f ca="1">IF(ISNUMBER(_xll.BDP(C22,$E$11,"UpdFreq="&amp;$A$5)),(_xll.BDP(C22,$E$11,"UpdFreq="&amp;$A$5)+G22)/100,(_xll.BDP(C22,"LAST PRICE","UpdFreq="&amp;$A$5)+G22)/100)</f>
        <v>#NAME?</v>
      </c>
      <c r="F22" s="45" t="e">
        <f t="shared" ca="1" si="0"/>
        <v>#NAME?</v>
      </c>
      <c r="G22" s="73"/>
      <c r="H22" s="80">
        <f t="shared" si="1"/>
        <v>8</v>
      </c>
      <c r="I22" s="46" t="s">
        <v>29</v>
      </c>
      <c r="J22" s="81" t="e">
        <f ca="1">_xll.BAddPeriods($H$4,"Per="&amp;I22,"NumberOfPeriods="&amp;H22,$J$3,$J$4)</f>
        <v>#NAME?</v>
      </c>
      <c r="L22" s="89"/>
    </row>
    <row r="23" spans="1:12">
      <c r="A23" s="285"/>
      <c r="B23" s="43" t="s">
        <v>87</v>
      </c>
      <c r="C23" s="44" t="str">
        <f>"EUSWEI "  &amp;  $H$5 &amp;" Curncy"</f>
        <v>EUSWEI BXSW Curncy</v>
      </c>
      <c r="D23" s="45" t="e">
        <f ca="1">IF(ISNUMBER(_xll.BDP(C23,$D$11,"UpdFreq="&amp;$A$5)),(_xll.BDP(C23,$D$11,"UpdFreq="&amp;$A$5)+G23)/100,(_xll.BDP(C23,"LAST PRICE","UpdFreq="&amp;$A$5)+G23)/100)</f>
        <v>#NAME?</v>
      </c>
      <c r="E23" s="45" t="e">
        <f ca="1">IF(ISNUMBER(_xll.BDP(C23,$E$11,"UpdFreq="&amp;$A$5)),(_xll.BDP(C23,$E$11,"UpdFreq="&amp;$A$5)+G23)/100,(_xll.BDP(C23,"LAST PRICE","UpdFreq="&amp;$A$5)+G23)/100)</f>
        <v>#NAME?</v>
      </c>
      <c r="F23" s="45" t="e">
        <f t="shared" ca="1" si="0"/>
        <v>#NAME?</v>
      </c>
      <c r="G23" s="73"/>
      <c r="H23" s="80">
        <f t="shared" si="1"/>
        <v>9</v>
      </c>
      <c r="I23" s="46" t="s">
        <v>29</v>
      </c>
      <c r="J23" s="81" t="e">
        <f ca="1">_xll.BAddPeriods($H$4,"Per="&amp;I23,"NumberOfPeriods="&amp;H23,$J$3,$J$4)</f>
        <v>#NAME?</v>
      </c>
      <c r="L23" s="89"/>
    </row>
    <row r="24" spans="1:12">
      <c r="A24" s="285"/>
      <c r="B24" s="43" t="s">
        <v>88</v>
      </c>
      <c r="C24" s="44" t="str">
        <f>"EUSWEJ "  &amp;  $H$5 &amp;" Curncy"</f>
        <v>EUSWEJ BXSW Curncy</v>
      </c>
      <c r="D24" s="45" t="e">
        <f ca="1">IF(ISNUMBER(_xll.BDP(C24,$D$11,"UpdFreq="&amp;$A$5)),(_xll.BDP(C24,$D$11,"UpdFreq="&amp;$A$5)+G24)/100,(_xll.BDP(C24,"LAST PRICE","UpdFreq="&amp;$A$5)+G24)/100)</f>
        <v>#NAME?</v>
      </c>
      <c r="E24" s="45" t="e">
        <f ca="1">IF(ISNUMBER(_xll.BDP(C24,$E$11,"UpdFreq="&amp;$A$5)),(_xll.BDP(C24,$E$11,"UpdFreq="&amp;$A$5)+G24)/100,(_xll.BDP(C24,"LAST PRICE","UpdFreq="&amp;$A$5)+G24)/100)</f>
        <v>#NAME?</v>
      </c>
      <c r="F24" s="45" t="e">
        <f t="shared" ca="1" si="0"/>
        <v>#NAME?</v>
      </c>
      <c r="G24" s="73"/>
      <c r="H24" s="80">
        <f>VALUE(LEFT(B24,2))</f>
        <v>10</v>
      </c>
      <c r="I24" s="46" t="s">
        <v>29</v>
      </c>
      <c r="J24" s="81" t="e">
        <f ca="1">_xll.BAddPeriods($H$4,"Per="&amp;I24,"NumberOfPeriods="&amp;H24,$J$3,$J$4)</f>
        <v>#NAME?</v>
      </c>
      <c r="L24" s="89"/>
    </row>
    <row r="25" spans="1:12" ht="12.75" customHeight="1">
      <c r="A25" s="285"/>
      <c r="B25" s="43" t="s">
        <v>89</v>
      </c>
      <c r="C25" s="44" t="str">
        <f>"EUSWEK "  &amp;  $H$5 &amp;" Curncy"</f>
        <v>EUSWEK BXSW Curncy</v>
      </c>
      <c r="D25" s="45" t="e">
        <f ca="1">IF(ISNUMBER(_xll.BDP(C25,$D$11,"UpdFreq="&amp;$A$5)),(_xll.BDP(C25,$D$11,"UpdFreq="&amp;$A$5)+G25)/100,(_xll.BDP(C25,"LAST PRICE","UpdFreq="&amp;$A$5)+G25)/100)</f>
        <v>#NAME?</v>
      </c>
      <c r="E25" s="45" t="e">
        <f ca="1">IF(ISNUMBER(_xll.BDP(C25,$E$11,"UpdFreq="&amp;$A$5)),(_xll.BDP(C25,$E$11,"UpdFreq="&amp;$A$5)+G25)/100,(_xll.BDP(C25,"LAST PRICE","UpdFreq="&amp;$A$5)+G25)/100)</f>
        <v>#NAME?</v>
      </c>
      <c r="F25" s="45" t="e">
        <f t="shared" ca="1" si="0"/>
        <v>#NAME?</v>
      </c>
      <c r="G25" s="73"/>
      <c r="H25" s="80">
        <f>VALUE(LEFT(B25,2))</f>
        <v>11</v>
      </c>
      <c r="I25" s="46" t="s">
        <v>29</v>
      </c>
      <c r="J25" s="81" t="e">
        <f ca="1">_xll.BAddPeriods($H$4,"Per="&amp;I25,"NumberOfPeriods="&amp;H25,$J$3,$J$4)</f>
        <v>#NAME?</v>
      </c>
      <c r="L25" s="89"/>
    </row>
    <row r="26" spans="1:12">
      <c r="A26" s="285"/>
      <c r="B26" s="43" t="s">
        <v>3</v>
      </c>
      <c r="C26" s="44" t="str">
        <f>"EUSWE1 "  &amp;  $H$5 &amp;" Curncy"</f>
        <v>EUSWE1 BXSW Curncy</v>
      </c>
      <c r="D26" s="45" t="e">
        <f ca="1">IF(ISNUMBER(_xll.BDP(C26,$D$11,"UpdFreq="&amp;$A$5)),(_xll.BDP(C26,$D$11,"UpdFreq="&amp;$A$5)+G26)/100,(_xll.BDP(C26,"LAST PRICE","UpdFreq="&amp;$A$5)+G26)/100)</f>
        <v>#NAME?</v>
      </c>
      <c r="E26" s="45" t="e">
        <f ca="1">IF(ISNUMBER(_xll.BDP(C26,$E$11,"UpdFreq="&amp;$A$5)),(_xll.BDP(C26,$E$11,"UpdFreq="&amp;$A$5)+G26)/100,(_xll.BDP(C26,"LAST PRICE","UpdFreq="&amp;$A$5)+G26)/100)</f>
        <v>#NAME?</v>
      </c>
      <c r="F26" s="45" t="e">
        <f t="shared" ca="1" si="0"/>
        <v>#NAME?</v>
      </c>
      <c r="G26" s="73"/>
      <c r="H26" s="80">
        <f>VALUE(LEFT(B26,1))</f>
        <v>1</v>
      </c>
      <c r="I26" s="46" t="s">
        <v>30</v>
      </c>
      <c r="J26" s="81" t="e">
        <f ca="1">_xll.BAddPeriods($H$4,"Per="&amp;I26,"NumberOfPeriods="&amp;H26,$J$3,$J$4)</f>
        <v>#NAME?</v>
      </c>
      <c r="L26" s="89"/>
    </row>
    <row r="27" spans="1:12">
      <c r="A27" s="285"/>
      <c r="B27" s="43" t="s">
        <v>92</v>
      </c>
      <c r="C27" s="44" t="str">
        <f>"EUSWE1C "  &amp;  $H$5 &amp;" Curncy"</f>
        <v>EUSWE1C BXSW Curncy</v>
      </c>
      <c r="D27" s="45" t="e">
        <f ca="1">IF(ISNUMBER(_xll.BDP(C27,$D$11,"UpdFreq="&amp;$A$5)),(_xll.BDP(C27,$D$11,"UpdFreq="&amp;$A$5)+G27)/100,(_xll.BDP(C27,"LAST PRICE","UpdFreq="&amp;$A$5)+G27)/100)</f>
        <v>#NAME?</v>
      </c>
      <c r="E27" s="45" t="e">
        <f ca="1">IF(ISNUMBER(_xll.BDP(C27,$E$11,"UpdFreq="&amp;$A$5)),(_xll.BDP(C27,$E$11,"UpdFreq="&amp;$A$5)+G27)/100,(_xll.BDP(C27,"LAST PRICE","UpdFreq="&amp;$A$5)+G27)/100)</f>
        <v>#NAME?</v>
      </c>
      <c r="F27" s="45" t="e">
        <f t="shared" ca="1" si="0"/>
        <v>#NAME?</v>
      </c>
      <c r="G27" s="73"/>
      <c r="H27" s="80">
        <f t="shared" ref="H27:H44" si="2">VALUE(LEFT(B27,2))</f>
        <v>15</v>
      </c>
      <c r="I27" s="46" t="s">
        <v>29</v>
      </c>
      <c r="J27" s="81" t="e">
        <f ca="1">_xll.BAddPeriods($H$4,"Per="&amp;I27,"NumberOfPeriods="&amp;H27,$J$3,$J$4)</f>
        <v>#NAME?</v>
      </c>
      <c r="L27" s="89"/>
    </row>
    <row r="28" spans="1:12">
      <c r="A28" s="285"/>
      <c r="B28" s="43" t="s">
        <v>90</v>
      </c>
      <c r="C28" s="44" t="str">
        <f>"EUSWE1F "  &amp;  $H$5 &amp;" Curncy"</f>
        <v>EUSWE1F BXSW Curncy</v>
      </c>
      <c r="D28" s="45" t="e">
        <f ca="1">IF(ISNUMBER(_xll.BDP(C28,$D$11,"UpdFreq="&amp;$A$5)),(_xll.BDP(C28,$D$11,"UpdFreq="&amp;$A$5)+G28)/100,(_xll.BDP(C28,"LAST PRICE","UpdFreq="&amp;$A$5)+G28)/100)</f>
        <v>#NAME?</v>
      </c>
      <c r="E28" s="45" t="e">
        <f ca="1">IF(ISNUMBER(_xll.BDP(C28,$E$11,"UpdFreq="&amp;$A$5)),(_xll.BDP(C28,$E$11,"UpdFreq="&amp;$A$5)+G28)/100,(_xll.BDP(C28,"LAST PRICE","UpdFreq="&amp;$A$5)+G28)/100)</f>
        <v>#NAME?</v>
      </c>
      <c r="F28" s="45" t="e">
        <f t="shared" ca="1" si="0"/>
        <v>#NAME?</v>
      </c>
      <c r="G28" s="73"/>
      <c r="H28" s="80">
        <f t="shared" si="2"/>
        <v>18</v>
      </c>
      <c r="I28" s="46" t="s">
        <v>29</v>
      </c>
      <c r="J28" s="81" t="e">
        <f ca="1">_xll.BAddPeriods($H$4,"Per="&amp;I28,"NumberOfPeriods="&amp;H28,$J$3,$J$4)</f>
        <v>#NAME?</v>
      </c>
      <c r="L28" s="89"/>
    </row>
    <row r="29" spans="1:12">
      <c r="A29" s="285"/>
      <c r="B29" s="43" t="s">
        <v>91</v>
      </c>
      <c r="C29" s="44" t="str">
        <f>"EUSWE1I "  &amp;  $H$5 &amp;" Curncy"</f>
        <v>EUSWE1I BXSW Curncy</v>
      </c>
      <c r="D29" s="45" t="e">
        <f ca="1">IF(ISNUMBER(_xll.BDP(C29,$D$11,"UpdFreq="&amp;$A$5)),(_xll.BDP(C29,$D$11,"UpdFreq="&amp;$A$5)+G29)/100,(_xll.BDP(C29,"LAST PRICE","UpdFreq="&amp;$A$5)+G29)/100)</f>
        <v>#NAME?</v>
      </c>
      <c r="E29" s="45" t="e">
        <f ca="1">IF(ISNUMBER(_xll.BDP(C29,$E$11,"UpdFreq="&amp;$A$5)),(_xll.BDP(C29,$E$11,"UpdFreq="&amp;$A$5)+G29)/100,(_xll.BDP(C29,"LAST PRICE","UpdFreq="&amp;$A$5)+G29)/100)</f>
        <v>#NAME?</v>
      </c>
      <c r="F29" s="45" t="e">
        <f t="shared" ca="1" si="0"/>
        <v>#NAME?</v>
      </c>
      <c r="G29" s="73"/>
      <c r="H29" s="80">
        <f t="shared" si="2"/>
        <v>21</v>
      </c>
      <c r="I29" s="46" t="s">
        <v>29</v>
      </c>
      <c r="J29" s="81" t="e">
        <f ca="1">_xll.BAddPeriods($H$4,"Per="&amp;I29,"NumberOfPeriods="&amp;H29,$J$3,$J$4)</f>
        <v>#NAME?</v>
      </c>
      <c r="L29" s="89"/>
    </row>
    <row r="30" spans="1:12">
      <c r="A30" s="285"/>
      <c r="B30" s="43" t="s">
        <v>7</v>
      </c>
      <c r="C30" s="44" t="str">
        <f>"EUSWE2 "  &amp;  $H$5 &amp;" Curncy"</f>
        <v>EUSWE2 BXSW Curncy</v>
      </c>
      <c r="D30" s="45" t="e">
        <f ca="1">IF(ISNUMBER(_xll.BDP(C30,$D$11,"UpdFreq="&amp;$A$5)),(_xll.BDP(C30,$D$11,"UpdFreq="&amp;$A$5)+G30)/100,(_xll.BDP(C30,"LAST PRICE","UpdFreq="&amp;$A$5)+G30)/100)</f>
        <v>#NAME?</v>
      </c>
      <c r="E30" s="45" t="e">
        <f ca="1">IF(ISNUMBER(_xll.BDP(C30,$E$11,"UpdFreq="&amp;$A$5)),(_xll.BDP(C30,$E$11,"UpdFreq="&amp;$A$5)+G30)/100,(_xll.BDP(C30,"LAST PRICE","UpdFreq="&amp;$A$5)+G30)/100)</f>
        <v>#NAME?</v>
      </c>
      <c r="F30" s="45" t="e">
        <f t="shared" ca="1" si="0"/>
        <v>#NAME?</v>
      </c>
      <c r="G30" s="73"/>
      <c r="H30" s="80">
        <f>VALUE(LEFT(B30,1))</f>
        <v>2</v>
      </c>
      <c r="I30" s="46" t="s">
        <v>30</v>
      </c>
      <c r="J30" s="81" t="e">
        <f ca="1">_xll.BAddPeriods($H$4,"Per="&amp;I30,"NumberOfPeriods="&amp;H30,$J$3,$J$4)</f>
        <v>#NAME?</v>
      </c>
      <c r="L30" s="89"/>
    </row>
    <row r="31" spans="1:12">
      <c r="A31" s="285"/>
      <c r="B31" s="43" t="s">
        <v>8</v>
      </c>
      <c r="C31" s="44" t="str">
        <f>"EUSWE3 "  &amp;  $H$5 &amp;" Curncy"</f>
        <v>EUSWE3 BXSW Curncy</v>
      </c>
      <c r="D31" s="45" t="e">
        <f ca="1">IF(ISNUMBER(_xll.BDP(C31,$D$11,"UpdFreq="&amp;$A$5)),(_xll.BDP(C31,$D$11,"UpdFreq="&amp;$A$5)+G31)/100,(_xll.BDP(C31,"LAST PRICE","UpdFreq="&amp;$A$5)+G31)/100)</f>
        <v>#NAME?</v>
      </c>
      <c r="E31" s="45" t="e">
        <f ca="1">IF(ISNUMBER(_xll.BDP(C31,$E$11,"UpdFreq="&amp;$A$5)),(_xll.BDP(C31,$E$11,"UpdFreq="&amp;$A$5)+G31)/100,(_xll.BDP(C31,"LAST PRICE","UpdFreq="&amp;$A$5)+G31)/100)</f>
        <v>#NAME?</v>
      </c>
      <c r="F31" s="45" t="e">
        <f t="shared" ca="1" si="0"/>
        <v>#NAME?</v>
      </c>
      <c r="G31" s="73"/>
      <c r="H31" s="80">
        <f t="shared" ref="H31:H37" si="3">VALUE(LEFT(B31,1))</f>
        <v>3</v>
      </c>
      <c r="I31" s="46" t="s">
        <v>30</v>
      </c>
      <c r="J31" s="81" t="e">
        <f ca="1">_xll.BAddPeriods($H$4,"Per="&amp;I31,"NumberOfPeriods="&amp;H31,$J$3,$J$4)</f>
        <v>#NAME?</v>
      </c>
      <c r="L31" s="89"/>
    </row>
    <row r="32" spans="1:12">
      <c r="A32" s="285"/>
      <c r="B32" s="43" t="s">
        <v>9</v>
      </c>
      <c r="C32" s="44" t="str">
        <f>"EUSWE4 "  &amp;  $H$5 &amp;" Curncy"</f>
        <v>EUSWE4 BXSW Curncy</v>
      </c>
      <c r="D32" s="45" t="e">
        <f ca="1">IF(ISNUMBER(_xll.BDP(C32,$D$11,"UpdFreq="&amp;$A$5)),(_xll.BDP(C32,$D$11,"UpdFreq="&amp;$A$5)+G32)/100,(_xll.BDP(C32,"LAST PRICE","UpdFreq="&amp;$A$5)+G32)/100)</f>
        <v>#NAME?</v>
      </c>
      <c r="E32" s="45" t="e">
        <f ca="1">IF(ISNUMBER(_xll.BDP(C32,$E$11,"UpdFreq="&amp;$A$5)),(_xll.BDP(C32,$E$11,"UpdFreq="&amp;$A$5)+G32)/100,(_xll.BDP(C32,"LAST PRICE","UpdFreq="&amp;$A$5)+G32)/100)</f>
        <v>#NAME?</v>
      </c>
      <c r="F32" s="45" t="e">
        <f t="shared" ca="1" si="0"/>
        <v>#NAME?</v>
      </c>
      <c r="G32" s="73"/>
      <c r="H32" s="80">
        <f t="shared" si="3"/>
        <v>4</v>
      </c>
      <c r="I32" s="46" t="s">
        <v>30</v>
      </c>
      <c r="J32" s="81" t="e">
        <f ca="1">_xll.BAddPeriods($H$4,"Per="&amp;I32,"NumberOfPeriods="&amp;H32,$J$3,$J$4)</f>
        <v>#NAME?</v>
      </c>
      <c r="L32" s="89"/>
    </row>
    <row r="33" spans="1:12">
      <c r="A33" s="285"/>
      <c r="B33" s="43" t="s">
        <v>10</v>
      </c>
      <c r="C33" s="44" t="str">
        <f>"EUSWE5 "  &amp;  $H$5 &amp;" Curncy"</f>
        <v>EUSWE5 BXSW Curncy</v>
      </c>
      <c r="D33" s="45" t="e">
        <f ca="1">IF(ISNUMBER(_xll.BDP(C33,$D$11,"UpdFreq="&amp;$A$5)),(_xll.BDP(C33,$D$11,"UpdFreq="&amp;$A$5)+G33)/100,(_xll.BDP(C33,"LAST PRICE","UpdFreq="&amp;$A$5)+G33)/100)</f>
        <v>#NAME?</v>
      </c>
      <c r="E33" s="45" t="e">
        <f ca="1">IF(ISNUMBER(_xll.BDP(C33,$E$11,"UpdFreq="&amp;$A$5)),(_xll.BDP(C33,$E$11,"UpdFreq="&amp;$A$5)+G33)/100,(_xll.BDP(C33,"LAST PRICE","UpdFreq="&amp;$A$5)+G33)/100)</f>
        <v>#NAME?</v>
      </c>
      <c r="F33" s="45" t="e">
        <f t="shared" ca="1" si="0"/>
        <v>#NAME?</v>
      </c>
      <c r="G33" s="73"/>
      <c r="H33" s="80">
        <f t="shared" si="3"/>
        <v>5</v>
      </c>
      <c r="I33" s="46" t="s">
        <v>30</v>
      </c>
      <c r="J33" s="81" t="e">
        <f ca="1">_xll.BAddPeriods($H$4,"Per="&amp;I33,"NumberOfPeriods="&amp;H33,$J$3,$J$4)</f>
        <v>#NAME?</v>
      </c>
      <c r="L33" s="89"/>
    </row>
    <row r="34" spans="1:12">
      <c r="A34" s="285"/>
      <c r="B34" s="43" t="s">
        <v>11</v>
      </c>
      <c r="C34" s="44" t="str">
        <f>"EUSWE6 "  &amp;  $H$5 &amp;" Curncy"</f>
        <v>EUSWE6 BXSW Curncy</v>
      </c>
      <c r="D34" s="45" t="e">
        <f ca="1">IF(ISNUMBER(_xll.BDP(C34,$D$11,"UpdFreq="&amp;$A$5)),(_xll.BDP(C34,$D$11,"UpdFreq="&amp;$A$5)+G34)/100,(_xll.BDP(C34,"LAST PRICE","UpdFreq="&amp;$A$5)+G34)/100)</f>
        <v>#NAME?</v>
      </c>
      <c r="E34" s="45" t="e">
        <f ca="1">IF(ISNUMBER(_xll.BDP(C34,$E$11,"UpdFreq="&amp;$A$5)),(_xll.BDP(C34,$E$11,"UpdFreq="&amp;$A$5)+G34)/100,(_xll.BDP(C34,"LAST PRICE","UpdFreq="&amp;$A$5)+G34)/100)</f>
        <v>#NAME?</v>
      </c>
      <c r="F34" s="45" t="e">
        <f t="shared" ca="1" si="0"/>
        <v>#NAME?</v>
      </c>
      <c r="G34" s="73"/>
      <c r="H34" s="80">
        <f t="shared" si="3"/>
        <v>6</v>
      </c>
      <c r="I34" s="46" t="s">
        <v>30</v>
      </c>
      <c r="J34" s="81" t="e">
        <f ca="1">_xll.BAddPeriods($H$4,"Per="&amp;I34,"NumberOfPeriods="&amp;H34,$J$3,$J$4)</f>
        <v>#NAME?</v>
      </c>
      <c r="L34" s="89"/>
    </row>
    <row r="35" spans="1:12">
      <c r="A35" s="285"/>
      <c r="B35" s="43" t="s">
        <v>12</v>
      </c>
      <c r="C35" s="44" t="str">
        <f>"EUSWE7 "  &amp;  $H$5 &amp;" Curncy"</f>
        <v>EUSWE7 BXSW Curncy</v>
      </c>
      <c r="D35" s="45" t="e">
        <f ca="1">IF(ISNUMBER(_xll.BDP(C35,$D$11,"UpdFreq="&amp;$A$5)),(_xll.BDP(C35,$D$11,"UpdFreq="&amp;$A$5)+G35)/100,(_xll.BDP(C35,"LAST PRICE","UpdFreq="&amp;$A$5)+G35)/100)</f>
        <v>#NAME?</v>
      </c>
      <c r="E35" s="45" t="e">
        <f ca="1">IF(ISNUMBER(_xll.BDP(C35,$E$11,"UpdFreq="&amp;$A$5)),(_xll.BDP(C35,$E$11,"UpdFreq="&amp;$A$5)+G35)/100,(_xll.BDP(C35,"LAST PRICE","UpdFreq="&amp;$A$5)+G35)/100)</f>
        <v>#NAME?</v>
      </c>
      <c r="F35" s="45" t="e">
        <f t="shared" ca="1" si="0"/>
        <v>#NAME?</v>
      </c>
      <c r="G35" s="73"/>
      <c r="H35" s="80">
        <f t="shared" si="3"/>
        <v>7</v>
      </c>
      <c r="I35" s="46" t="s">
        <v>30</v>
      </c>
      <c r="J35" s="81" t="e">
        <f ca="1">_xll.BAddPeriods($H$4,"Per="&amp;I35,"NumberOfPeriods="&amp;H35,$J$3,$J$4)</f>
        <v>#NAME?</v>
      </c>
      <c r="L35" s="89"/>
    </row>
    <row r="36" spans="1:12">
      <c r="A36" s="285"/>
      <c r="B36" s="43" t="s">
        <v>13</v>
      </c>
      <c r="C36" s="44" t="str">
        <f>"EUSWE8 "  &amp;  $H$5 &amp;" Curncy"</f>
        <v>EUSWE8 BXSW Curncy</v>
      </c>
      <c r="D36" s="45" t="e">
        <f ca="1">IF(ISNUMBER(_xll.BDP(C36,$D$11,"UpdFreq="&amp;$A$5)),(_xll.BDP(C36,$D$11,"UpdFreq="&amp;$A$5)+G36)/100,(_xll.BDP(C36,"LAST PRICE","UpdFreq="&amp;$A$5)+G36)/100)</f>
        <v>#NAME?</v>
      </c>
      <c r="E36" s="45" t="e">
        <f ca="1">IF(ISNUMBER(_xll.BDP(C36,$E$11,"UpdFreq="&amp;$A$5)),(_xll.BDP(C36,$E$11,"UpdFreq="&amp;$A$5)+G36)/100,(_xll.BDP(C36,"LAST PRICE","UpdFreq="&amp;$A$5)+G36)/100)</f>
        <v>#NAME?</v>
      </c>
      <c r="F36" s="45" t="e">
        <f t="shared" ca="1" si="0"/>
        <v>#NAME?</v>
      </c>
      <c r="G36" s="73"/>
      <c r="H36" s="80">
        <f t="shared" si="3"/>
        <v>8</v>
      </c>
      <c r="I36" s="46" t="s">
        <v>30</v>
      </c>
      <c r="J36" s="81" t="e">
        <f ca="1">_xll.BAddPeriods($H$4,"Per="&amp;I36,"NumberOfPeriods="&amp;H36,$J$3,$J$4)</f>
        <v>#NAME?</v>
      </c>
      <c r="L36" s="89"/>
    </row>
    <row r="37" spans="1:12">
      <c r="A37" s="285"/>
      <c r="B37" s="43" t="s">
        <v>14</v>
      </c>
      <c r="C37" s="44" t="str">
        <f>"EUSWE9 "  &amp;  $H$5 &amp;" Curncy"</f>
        <v>EUSWE9 BXSW Curncy</v>
      </c>
      <c r="D37" s="45" t="e">
        <f ca="1">IF(ISNUMBER(_xll.BDP(C37,$D$11,"UpdFreq="&amp;$A$5)),(_xll.BDP(C37,$D$11,"UpdFreq="&amp;$A$5)+G37)/100,(_xll.BDP(C37,"LAST PRICE","UpdFreq="&amp;$A$5)+G37)/100)</f>
        <v>#NAME?</v>
      </c>
      <c r="E37" s="45" t="e">
        <f ca="1">IF(ISNUMBER(_xll.BDP(C37,$E$11,"UpdFreq="&amp;$A$5)),(_xll.BDP(C37,$E$11,"UpdFreq="&amp;$A$5)+G37)/100,(_xll.BDP(C37,"LAST PRICE","UpdFreq="&amp;$A$5)+G37)/100)</f>
        <v>#NAME?</v>
      </c>
      <c r="F37" s="45" t="e">
        <f t="shared" ca="1" si="0"/>
        <v>#NAME?</v>
      </c>
      <c r="G37" s="73"/>
      <c r="H37" s="80">
        <f t="shared" si="3"/>
        <v>9</v>
      </c>
      <c r="I37" s="46" t="s">
        <v>30</v>
      </c>
      <c r="J37" s="81" t="e">
        <f ca="1">_xll.BAddPeriods($H$4,"Per="&amp;I37,"NumberOfPeriods="&amp;H37,$J$3,$J$4)</f>
        <v>#NAME?</v>
      </c>
      <c r="L37" s="89"/>
    </row>
    <row r="38" spans="1:12">
      <c r="A38" s="285"/>
      <c r="B38" s="43" t="s">
        <v>15</v>
      </c>
      <c r="C38" s="44" t="str">
        <f>"EUSWE10 "  &amp;  $H$5 &amp;" Curncy"</f>
        <v>EUSWE10 BXSW Curncy</v>
      </c>
      <c r="D38" s="45" t="e">
        <f ca="1">IF(ISNUMBER(_xll.BDP(C38,$D$11,"UpdFreq="&amp;$A$5)),(_xll.BDP(C38,$D$11,"UpdFreq="&amp;$A$5)+G38)/100,(_xll.BDP(C38,"LAST PRICE","UpdFreq="&amp;$A$5)+G38)/100)</f>
        <v>#NAME?</v>
      </c>
      <c r="E38" s="45" t="e">
        <f ca="1">IF(ISNUMBER(_xll.BDP(C38,$E$11,"UpdFreq="&amp;$A$5)),(_xll.BDP(C38,$E$11,"UpdFreq="&amp;$A$5)+G38)/100,(_xll.BDP(C38,"LAST PRICE","UpdFreq="&amp;$A$5)+G38)/100)</f>
        <v>#NAME?</v>
      </c>
      <c r="F38" s="45" t="e">
        <f t="shared" ca="1" si="0"/>
        <v>#NAME?</v>
      </c>
      <c r="G38" s="73"/>
      <c r="H38" s="80">
        <f t="shared" si="2"/>
        <v>10</v>
      </c>
      <c r="I38" s="46" t="s">
        <v>30</v>
      </c>
      <c r="J38" s="81" t="e">
        <f ca="1">_xll.BAddPeriods($H$4,"Per="&amp;I38,"NumberOfPeriods="&amp;H38,$J$3,$J$4)</f>
        <v>#NAME?</v>
      </c>
      <c r="L38" s="89"/>
    </row>
    <row r="39" spans="1:12">
      <c r="A39" s="285"/>
      <c r="B39" s="43" t="s">
        <v>96</v>
      </c>
      <c r="C39" s="44" t="str">
        <f>"EUSWE11 "  &amp;  $H$5 &amp;" Curncy"</f>
        <v>EUSWE11 BXSW Curncy</v>
      </c>
      <c r="D39" s="45" t="e">
        <f ca="1">IF(ISNUMBER(_xll.BDP(C39,$D$11,"UpdFreq="&amp;$A$5)),(_xll.BDP(C39,$D$11,"UpdFreq="&amp;$A$5)+G39)/100,(_xll.BDP(C39,"LAST PRICE","UpdFreq="&amp;$A$5)+G39)/100)</f>
        <v>#NAME?</v>
      </c>
      <c r="E39" s="45" t="e">
        <f ca="1">IF(ISNUMBER(_xll.BDP(C39,$E$11,"UpdFreq="&amp;$A$5)),(_xll.BDP(C39,$E$11,"UpdFreq="&amp;$A$5)+G39)/100,(_xll.BDP(C39,"LAST PRICE","UpdFreq="&amp;$A$5)+G39)/100)</f>
        <v>#NAME?</v>
      </c>
      <c r="F39" s="45" t="e">
        <f t="shared" ca="1" si="0"/>
        <v>#NAME?</v>
      </c>
      <c r="G39" s="73"/>
      <c r="H39" s="80">
        <f t="shared" si="2"/>
        <v>11</v>
      </c>
      <c r="I39" s="46" t="s">
        <v>30</v>
      </c>
      <c r="J39" s="81" t="e">
        <f ca="1">_xll.BAddPeriods($H$4,"Per="&amp;I39,"NumberOfPeriods="&amp;H39,$J$3,$J$4)</f>
        <v>#NAME?</v>
      </c>
      <c r="L39" s="89"/>
    </row>
    <row r="40" spans="1:12">
      <c r="A40" s="285"/>
      <c r="B40" s="43" t="s">
        <v>16</v>
      </c>
      <c r="C40" s="44" t="str">
        <f>"EUSWE12 "  &amp;  $H$5 &amp;" Curncy"</f>
        <v>EUSWE12 BXSW Curncy</v>
      </c>
      <c r="D40" s="45" t="e">
        <f ca="1">IF(ISNUMBER(_xll.BDP(C40,$D$11,"UpdFreq="&amp;$A$5)),(_xll.BDP(C40,$D$11,"UpdFreq="&amp;$A$5)+G40)/100,(_xll.BDP(C40,"LAST PRICE","UpdFreq="&amp;$A$5)+G40)/100)</f>
        <v>#NAME?</v>
      </c>
      <c r="E40" s="45" t="e">
        <f ca="1">IF(ISNUMBER(_xll.BDP(C40,$E$11,"UpdFreq="&amp;$A$5)),(_xll.BDP(C40,$E$11,"UpdFreq="&amp;$A$5)+G40)/100,(_xll.BDP(C40,"LAST PRICE","UpdFreq="&amp;$A$5)+G40)/100)</f>
        <v>#NAME?</v>
      </c>
      <c r="F40" s="45" t="e">
        <f t="shared" ca="1" si="0"/>
        <v>#NAME?</v>
      </c>
      <c r="G40" s="73"/>
      <c r="H40" s="80">
        <f t="shared" si="2"/>
        <v>12</v>
      </c>
      <c r="I40" s="46" t="s">
        <v>30</v>
      </c>
      <c r="J40" s="81" t="e">
        <f ca="1">_xll.BAddPeriods($H$4,"Per="&amp;I40,"NumberOfPeriods="&amp;H40,$J$3,$J$4)</f>
        <v>#NAME?</v>
      </c>
      <c r="L40" s="89"/>
    </row>
    <row r="41" spans="1:12">
      <c r="A41" s="285"/>
      <c r="B41" s="43" t="s">
        <v>17</v>
      </c>
      <c r="C41" s="44" t="str">
        <f>"EUSWE15 "  &amp;  $H$5 &amp;" Curncy"</f>
        <v>EUSWE15 BXSW Curncy</v>
      </c>
      <c r="D41" s="45" t="e">
        <f ca="1">IF(ISNUMBER(_xll.BDP(C41,$D$11,"UpdFreq="&amp;$A$5)),(_xll.BDP(C41,$D$11,"UpdFreq="&amp;$A$5)+G41)/100,(_xll.BDP(C41,"LAST PRICE","UpdFreq="&amp;$A$5)+G41)/100)</f>
        <v>#NAME?</v>
      </c>
      <c r="E41" s="45" t="e">
        <f ca="1">IF(ISNUMBER(_xll.BDP(C41,$E$11,"UpdFreq="&amp;$A$5)),(_xll.BDP(C41,$E$11,"UpdFreq="&amp;$A$5)+G41)/100,(_xll.BDP(C41,"LAST PRICE","UpdFreq="&amp;$A$5)+G41)/100)</f>
        <v>#NAME?</v>
      </c>
      <c r="F41" s="45" t="e">
        <f t="shared" ca="1" si="0"/>
        <v>#NAME?</v>
      </c>
      <c r="G41" s="73"/>
      <c r="H41" s="80">
        <f t="shared" si="2"/>
        <v>15</v>
      </c>
      <c r="I41" s="46" t="s">
        <v>30</v>
      </c>
      <c r="J41" s="81" t="e">
        <f ca="1">_xll.BAddPeriods($H$4,"Per="&amp;I41,"NumberOfPeriods="&amp;H41,$J$3,$J$4)</f>
        <v>#NAME?</v>
      </c>
      <c r="L41" s="89"/>
    </row>
    <row r="42" spans="1:12">
      <c r="A42" s="285"/>
      <c r="B42" s="43" t="s">
        <v>18</v>
      </c>
      <c r="C42" s="44" t="str">
        <f>"EUSWE20 "  &amp;  $H$5 &amp;" Curncy"</f>
        <v>EUSWE20 BXSW Curncy</v>
      </c>
      <c r="D42" s="45" t="e">
        <f ca="1">IF(ISNUMBER(_xll.BDP(C42,$D$11,"UpdFreq="&amp;$A$5)),(_xll.BDP(C42,$D$11,"UpdFreq="&amp;$A$5)+G42)/100,(_xll.BDP(C42,"LAST PRICE","UpdFreq="&amp;$A$5)+G42)/100)</f>
        <v>#NAME?</v>
      </c>
      <c r="E42" s="45" t="e">
        <f ca="1">IF(ISNUMBER(_xll.BDP(C42,$E$11,"UpdFreq="&amp;$A$5)),(_xll.BDP(C42,$E$11,"UpdFreq="&amp;$A$5)+G42)/100,(_xll.BDP(C42,"LAST PRICE","UpdFreq="&amp;$A$5)+G42)/100)</f>
        <v>#NAME?</v>
      </c>
      <c r="F42" s="45" t="e">
        <f t="shared" ca="1" si="0"/>
        <v>#NAME?</v>
      </c>
      <c r="G42" s="73"/>
      <c r="H42" s="80">
        <f t="shared" si="2"/>
        <v>20</v>
      </c>
      <c r="I42" s="46" t="s">
        <v>30</v>
      </c>
      <c r="J42" s="81" t="e">
        <f ca="1">_xll.BAddPeriods($H$4,"Per="&amp;I42,"NumberOfPeriods="&amp;H42,$J$3,$J$4)</f>
        <v>#NAME?</v>
      </c>
      <c r="L42" s="89"/>
    </row>
    <row r="43" spans="1:12">
      <c r="A43" s="285"/>
      <c r="B43" s="43" t="s">
        <v>19</v>
      </c>
      <c r="C43" s="44" t="str">
        <f>"EUSWE25 "  &amp;  $H$5 &amp;" Curncy"</f>
        <v>EUSWE25 BXSW Curncy</v>
      </c>
      <c r="D43" s="45" t="e">
        <f ca="1">IF(ISNUMBER(_xll.BDP(C43,$D$11,"UpdFreq="&amp;$A$5)),(_xll.BDP(C43,$D$11,"UpdFreq="&amp;$A$5)+G43)/100,(_xll.BDP(C43,"LAST PRICE","UpdFreq="&amp;$A$5)+G43)/100)</f>
        <v>#NAME?</v>
      </c>
      <c r="E43" s="45" t="e">
        <f ca="1">IF(ISNUMBER(_xll.BDP(C43,$E$11,"UpdFreq="&amp;$A$5)),(_xll.BDP(C43,$E$11,"UpdFreq="&amp;$A$5)+G43)/100,(_xll.BDP(C43,"LAST PRICE","UpdFreq="&amp;$A$5)+G43)/100)</f>
        <v>#NAME?</v>
      </c>
      <c r="F43" s="45" t="e">
        <f t="shared" ca="1" si="0"/>
        <v>#NAME?</v>
      </c>
      <c r="G43" s="73"/>
      <c r="H43" s="80">
        <f t="shared" si="2"/>
        <v>25</v>
      </c>
      <c r="I43" s="46" t="s">
        <v>30</v>
      </c>
      <c r="J43" s="81" t="e">
        <f ca="1">_xll.BAddPeriods($H$4,"Per="&amp;I43,"NumberOfPeriods="&amp;H43,$J$3,$J$4)</f>
        <v>#NAME?</v>
      </c>
      <c r="L43" s="89"/>
    </row>
    <row r="44" spans="1:12">
      <c r="A44" s="285"/>
      <c r="B44" s="47" t="s">
        <v>20</v>
      </c>
      <c r="C44" s="48" t="str">
        <f>"EUSWE30 "  &amp;  $H$5 &amp;" Curncy"</f>
        <v>EUSWE30 BXSW Curncy</v>
      </c>
      <c r="D44" s="49" t="e">
        <f ca="1">IF(ISNUMBER(_xll.BDP(C44,$D$11,"UpdFreq="&amp;$A$5)),(_xll.BDP(C44,$D$11,"UpdFreq="&amp;$A$5)+G44)/100,(_xll.BDP(C44,"LAST PRICE","UpdFreq="&amp;$A$5)+G44)/100)</f>
        <v>#NAME?</v>
      </c>
      <c r="E44" s="49" t="e">
        <f ca="1">IF(ISNUMBER(_xll.BDP(C44,$E$11,"UpdFreq="&amp;$A$5)),(_xll.BDP(C44,$E$11,"UpdFreq="&amp;$A$5)+G44)/100,(_xll.BDP(C44,"LAST PRICE","UpdFreq="&amp;$A$5)+G44)/100)</f>
        <v>#NAME?</v>
      </c>
      <c r="F44" s="101" t="e">
        <f t="shared" ca="1" si="0"/>
        <v>#NAME?</v>
      </c>
      <c r="G44" s="78"/>
      <c r="H44" s="82">
        <f t="shared" si="2"/>
        <v>30</v>
      </c>
      <c r="I44" s="50" t="s">
        <v>30</v>
      </c>
      <c r="J44" s="84" t="e">
        <f ca="1">_xll.BAddPeriods($H$4,"Per="&amp;I44,"NumberOfPeriods="&amp;H44,$J$3,$J$4)</f>
        <v>#NAME?</v>
      </c>
      <c r="L44" s="89"/>
    </row>
    <row r="45" spans="1:12">
      <c r="L45" s="88"/>
    </row>
    <row r="46" spans="1:12">
      <c r="L46" s="88"/>
    </row>
    <row r="47" spans="1:12">
      <c r="L47" s="88"/>
    </row>
    <row r="48" spans="1:12">
      <c r="L48" s="88"/>
    </row>
  </sheetData>
  <mergeCells count="4">
    <mergeCell ref="B3:C3"/>
    <mergeCell ref="B4:C4"/>
    <mergeCell ref="B5:C5"/>
    <mergeCell ref="A12:A44"/>
  </mergeCells>
  <phoneticPr fontId="2" type="noConversion"/>
  <dataValidations count="3">
    <dataValidation type="list" allowBlank="1" showInputMessage="1" showErrorMessage="1" sqref="D5">
      <formula1>$AF$3:$AF$6</formula1>
    </dataValidation>
    <dataValidation type="list" allowBlank="1" showInputMessage="1" showErrorMessage="1" sqref="D3">
      <formula1>$R$2:$R$3</formula1>
    </dataValidation>
    <dataValidation type="list" allowBlank="1" showInputMessage="1" showErrorMessage="1" sqref="D4">
      <formula1>Contributori_EONIA</formula1>
    </dataValidation>
  </dataValidations>
  <pageMargins left="0.75" right="0.75" top="1" bottom="1" header="0.5" footer="0.5"/>
  <pageSetup paperSize="9" orientation="landscape" r:id="rId1"/>
  <headerFooter alignWithMargins="0"/>
  <cellWatches>
    <cellWatch r="D4"/>
  </cellWatche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Foglio1" enableFormatConditionsCalculation="0">
    <tabColor indexed="48"/>
    <pageSetUpPr autoPageBreaks="0"/>
  </sheetPr>
  <dimension ref="A1:AF56"/>
  <sheetViews>
    <sheetView showGridLines="0" zoomScale="80" workbookViewId="0">
      <pane ySplit="8" topLeftCell="A9" activePane="bottomLeft" state="frozenSplit"/>
      <selection activeCell="D7" sqref="D7"/>
      <selection pane="bottomLeft" activeCell="B12" sqref="B12:K49"/>
    </sheetView>
  </sheetViews>
  <sheetFormatPr defaultColWidth="0" defaultRowHeight="12.75"/>
  <cols>
    <col min="1" max="1" width="8" customWidth="1"/>
    <col min="2" max="2" width="9.7109375" customWidth="1"/>
    <col min="3" max="3" width="19.7109375" customWidth="1"/>
    <col min="4" max="6" width="11.7109375" customWidth="1"/>
    <col min="7" max="7" width="12.7109375" customWidth="1"/>
    <col min="8" max="9" width="13.28515625" style="1" customWidth="1"/>
    <col min="10" max="11" width="14.7109375" customWidth="1"/>
    <col min="12" max="12" width="14.7109375" style="3" customWidth="1"/>
    <col min="13" max="13" width="14.28515625" customWidth="1"/>
    <col min="14" max="14" width="11.28515625" customWidth="1"/>
    <col min="15" max="15" width="3.42578125" customWidth="1"/>
    <col min="16" max="16" width="8.5703125" customWidth="1"/>
    <col min="18" max="18" width="9.140625" bestFit="1" customWidth="1"/>
    <col min="19" max="19" width="8.5703125" customWidth="1"/>
    <col min="20" max="20" width="12.28515625" customWidth="1"/>
    <col min="21" max="21" width="3" customWidth="1"/>
    <col min="22" max="22" width="5.5703125" customWidth="1"/>
    <col min="23" max="23" width="7.7109375" customWidth="1"/>
    <col min="24" max="24" width="6.5703125" customWidth="1"/>
    <col min="25" max="25" width="9.5703125" customWidth="1"/>
    <col min="26" max="26" width="10.28515625" customWidth="1"/>
    <col min="27" max="27" width="10.7109375" customWidth="1"/>
    <col min="29" max="29" width="13.85546875" customWidth="1"/>
    <col min="31" max="31" width="4.85546875" customWidth="1"/>
    <col min="32" max="32" width="7.28515625" customWidth="1"/>
  </cols>
  <sheetData>
    <row r="1" spans="1:32" ht="43.5" customHeight="1">
      <c r="B1" s="5"/>
      <c r="C1" s="5"/>
      <c r="D1" s="5"/>
      <c r="E1" s="5"/>
      <c r="M1" s="18" t="s">
        <v>61</v>
      </c>
      <c r="P1" s="6" t="s">
        <v>36</v>
      </c>
      <c r="R1" s="6"/>
      <c r="S1" s="4" t="s">
        <v>39</v>
      </c>
      <c r="T1" s="4" t="s">
        <v>40</v>
      </c>
      <c r="U1" s="4" t="s">
        <v>42</v>
      </c>
      <c r="V1" s="4" t="s">
        <v>6</v>
      </c>
      <c r="W1" s="4" t="s">
        <v>43</v>
      </c>
      <c r="X1" s="4" t="s">
        <v>5</v>
      </c>
      <c r="Y1" s="4" t="s">
        <v>53</v>
      </c>
      <c r="Z1" s="4" t="s">
        <v>52</v>
      </c>
      <c r="AA1" s="4" t="s">
        <v>54</v>
      </c>
      <c r="AC1" s="6" t="s">
        <v>64</v>
      </c>
      <c r="AE1" s="6" t="s">
        <v>63</v>
      </c>
      <c r="AF1" s="6" t="s">
        <v>73</v>
      </c>
    </row>
    <row r="2" spans="1:32" ht="13.5" customHeight="1">
      <c r="A2" s="5"/>
      <c r="B2" s="51"/>
      <c r="C2" s="51"/>
      <c r="G2" s="17" t="s">
        <v>59</v>
      </c>
      <c r="H2" s="2"/>
      <c r="I2" s="2"/>
      <c r="J2" s="3"/>
      <c r="M2" s="18" t="s">
        <v>62</v>
      </c>
      <c r="N2" s="9" t="s">
        <v>68</v>
      </c>
      <c r="O2" s="6">
        <v>1</v>
      </c>
      <c r="P2" s="6" t="s">
        <v>34</v>
      </c>
      <c r="R2" s="6" t="s">
        <v>77</v>
      </c>
      <c r="S2" s="4" t="s">
        <v>78</v>
      </c>
      <c r="T2" s="4" t="s">
        <v>79</v>
      </c>
      <c r="U2" s="4">
        <v>2</v>
      </c>
      <c r="V2" s="4" t="s">
        <v>34</v>
      </c>
      <c r="W2" s="4" t="s">
        <v>34</v>
      </c>
      <c r="X2" s="4" t="s">
        <v>37</v>
      </c>
      <c r="Y2" s="4" t="s">
        <v>78</v>
      </c>
      <c r="AC2" s="6"/>
      <c r="AE2" s="6"/>
    </row>
    <row r="3" spans="1:32">
      <c r="A3" s="5"/>
      <c r="B3" s="87"/>
      <c r="C3" s="99"/>
      <c r="D3" s="74" t="s">
        <v>77</v>
      </c>
      <c r="G3" s="13" t="s">
        <v>31</v>
      </c>
      <c r="H3" s="16" t="e">
        <f ca="1">[1]!blptoday()</f>
        <v>#NAME?</v>
      </c>
      <c r="I3" s="13" t="s">
        <v>25</v>
      </c>
      <c r="J3" s="85" t="e">
        <f ca="1">"CDR="&amp;J6</f>
        <v>#NAME?</v>
      </c>
      <c r="N3" s="9" t="s">
        <v>69</v>
      </c>
      <c r="O3" s="6">
        <v>2</v>
      </c>
      <c r="P3" s="6" t="s">
        <v>2</v>
      </c>
      <c r="R3" s="6" t="s">
        <v>38</v>
      </c>
      <c r="S3" s="4" t="s">
        <v>4</v>
      </c>
      <c r="T3" s="4" t="s">
        <v>41</v>
      </c>
      <c r="U3" s="4">
        <v>2</v>
      </c>
      <c r="V3" s="4" t="s">
        <v>34</v>
      </c>
      <c r="W3" s="4" t="s">
        <v>34</v>
      </c>
      <c r="X3" s="7" t="s">
        <v>37</v>
      </c>
      <c r="Y3" s="4" t="s">
        <v>4</v>
      </c>
      <c r="AC3" s="6" t="s">
        <v>45</v>
      </c>
      <c r="AE3" s="6" t="s">
        <v>56</v>
      </c>
      <c r="AF3" s="6">
        <v>1</v>
      </c>
    </row>
    <row r="4" spans="1:32">
      <c r="B4" s="282" t="s">
        <v>124</v>
      </c>
      <c r="C4" s="292"/>
      <c r="D4" s="74" t="s">
        <v>102</v>
      </c>
      <c r="G4" s="14" t="str">
        <f>"T+"&amp;INDEX($U$2:$U$3,MATCH($D$3,$R$2:$R$3,FALSE))</f>
        <v>T+2</v>
      </c>
      <c r="H4" s="75" t="e">
        <f ca="1">_xll.BAddPeriods($H$3,"Per=wd","NumberOfPeriods="&amp;RIGHT(G4,1),$J$3)</f>
        <v>#NAME?</v>
      </c>
      <c r="I4" s="14" t="s">
        <v>1</v>
      </c>
      <c r="J4" s="68" t="s">
        <v>33</v>
      </c>
      <c r="N4" s="9" t="s">
        <v>55</v>
      </c>
      <c r="O4" s="6">
        <v>4</v>
      </c>
      <c r="P4" s="8" t="s">
        <v>37</v>
      </c>
      <c r="R4" s="76" t="e">
        <f>RTD("bloomberg.ccyreader", "", "#track", "DBG", "XCLR", "1.1", 1)</f>
        <v>#N/A</v>
      </c>
      <c r="AC4" s="6" t="s">
        <v>65</v>
      </c>
      <c r="AE4" s="6" t="s">
        <v>35</v>
      </c>
      <c r="AF4" s="6">
        <v>5</v>
      </c>
    </row>
    <row r="5" spans="1:32">
      <c r="B5" s="282" t="s">
        <v>169</v>
      </c>
      <c r="C5" s="292"/>
      <c r="D5" s="74" t="s">
        <v>102</v>
      </c>
      <c r="G5" s="14" t="s">
        <v>44</v>
      </c>
      <c r="H5" s="68" t="str">
        <f>D4&amp;"/"&amp;D5</f>
        <v>ICPL/ICPL</v>
      </c>
      <c r="I5" s="14" t="s">
        <v>46</v>
      </c>
      <c r="J5" s="69" t="e">
        <f ca="1">_xll.BDP(D3&amp;" Curncy","BB_CRNCY_CODE")</f>
        <v>#NAME?</v>
      </c>
      <c r="N5" s="9" t="s">
        <v>70</v>
      </c>
      <c r="O5" s="6">
        <v>12</v>
      </c>
      <c r="AC5" s="6" t="s">
        <v>66</v>
      </c>
      <c r="AE5" s="6" t="s">
        <v>57</v>
      </c>
      <c r="AF5" s="6">
        <v>10</v>
      </c>
    </row>
    <row r="6" spans="1:32">
      <c r="A6" s="98">
        <f>D6*1000</f>
        <v>5000</v>
      </c>
      <c r="B6" s="280" t="s">
        <v>71</v>
      </c>
      <c r="C6" s="281"/>
      <c r="D6" s="74">
        <v>5</v>
      </c>
      <c r="E6" t="s">
        <v>72</v>
      </c>
      <c r="G6" s="70" t="s">
        <v>43</v>
      </c>
      <c r="H6" s="72" t="str">
        <f>INDEX($T$2:$T$3,MATCH($D$3,$R$2:$R$3,FALSE))</f>
        <v>ER</v>
      </c>
      <c r="I6" s="70" t="s">
        <v>76</v>
      </c>
      <c r="J6" s="72" t="e">
        <f ca="1">_xll.BDP(D3&amp;" Curncy","CALENDAR_CODE")</f>
        <v>#NAME?</v>
      </c>
      <c r="AC6" s="6" t="s">
        <v>102</v>
      </c>
      <c r="AF6" s="6">
        <v>60</v>
      </c>
    </row>
    <row r="7" spans="1:32" ht="13.5" customHeight="1">
      <c r="A7" s="3"/>
      <c r="B7" s="3"/>
      <c r="C7" s="3"/>
      <c r="D7" s="3"/>
      <c r="E7" s="3"/>
      <c r="F7" s="5"/>
      <c r="AC7" s="6" t="s">
        <v>67</v>
      </c>
    </row>
    <row r="8" spans="1:32" ht="13.5" customHeight="1">
      <c r="A8" s="60"/>
      <c r="B8" s="58"/>
      <c r="C8" s="59"/>
      <c r="D8" s="59"/>
      <c r="E8" s="59"/>
      <c r="F8" s="5"/>
      <c r="AC8" s="6" t="s">
        <v>163</v>
      </c>
    </row>
    <row r="9" spans="1:32" ht="13.5" customHeight="1">
      <c r="AC9" s="6"/>
    </row>
    <row r="10" spans="1:32" ht="13.5" customHeight="1">
      <c r="A10" s="54" t="s">
        <v>75</v>
      </c>
      <c r="B10" s="54"/>
      <c r="C10" s="55"/>
      <c r="D10" s="55"/>
      <c r="E10" s="55"/>
      <c r="F10" s="55"/>
      <c r="G10" s="55"/>
      <c r="H10" s="56"/>
      <c r="I10" s="56"/>
      <c r="J10" s="55"/>
      <c r="K10" s="55"/>
      <c r="L10" s="90"/>
    </row>
    <row r="11" spans="1:32">
      <c r="A11" s="10"/>
      <c r="B11" s="11"/>
      <c r="C11" s="11"/>
      <c r="D11" s="11" t="s">
        <v>57</v>
      </c>
      <c r="E11" s="11" t="s">
        <v>56</v>
      </c>
      <c r="F11" s="11" t="s">
        <v>35</v>
      </c>
      <c r="G11" s="12" t="s">
        <v>58</v>
      </c>
      <c r="H11" s="11" t="s">
        <v>60</v>
      </c>
      <c r="I11" s="11" t="s">
        <v>26</v>
      </c>
      <c r="J11" s="11" t="s">
        <v>32</v>
      </c>
      <c r="K11" s="12" t="s">
        <v>74</v>
      </c>
      <c r="L11" s="91"/>
    </row>
    <row r="12" spans="1:32">
      <c r="A12" s="293" t="s">
        <v>6</v>
      </c>
      <c r="B12" s="19" t="s">
        <v>51</v>
      </c>
      <c r="C12" s="20" t="e">
        <f ca="1">$J$5&amp;"DR1T " &amp;  $D$4 &amp;" Index"</f>
        <v>#NAME?</v>
      </c>
      <c r="D12" s="21" t="e">
        <f ca="1">IF(ISNUMBER(_xll.BDP(C12,$D$11,"UpdFreq="&amp;$A$6)),(_xll.BDP(C12,$D$11,"UpdFreq="&amp;$A$6)+G12)/100,(_xll.BDP(C12,"LAST PRICE","UpdFreq="&amp;$A$6)+G12)/100)</f>
        <v>#NAME?</v>
      </c>
      <c r="E12" s="21" t="e">
        <f ca="1">IF(ISNUMBER(_xll.BDP(C12,$E$11,"UpdFreq="&amp;$A$6)),(_xll.BDP(C12,$E$11,"UpdFreq="&amp;$A$6)+G12)/100,(_xll.BDP(C12,"LAST PRICE","UpdFreq="&amp;$A$6)+G12)/100)</f>
        <v>#NAME?</v>
      </c>
      <c r="F12" s="21" t="e">
        <f ca="1">AVERAGE(D12,E12)</f>
        <v>#NAME?</v>
      </c>
      <c r="G12" s="100"/>
      <c r="H12" s="22">
        <f t="shared" ref="H12:H20" si="0">VALUE(LEFT(B12,1))</f>
        <v>1</v>
      </c>
      <c r="I12" s="22" t="s">
        <v>27</v>
      </c>
      <c r="J12" s="62" t="e">
        <f ca="1">$H$3</f>
        <v>#NAME?</v>
      </c>
      <c r="K12" s="95" t="e">
        <f ca="1">_xll.BAddPeriods($J12,"Per="&amp;I12,"NumberOfPeriods="&amp;H12,$J$3,$J$4)</f>
        <v>#NAME?</v>
      </c>
      <c r="L12" s="92"/>
    </row>
    <row r="13" spans="1:32">
      <c r="A13" s="293"/>
      <c r="B13" s="23" t="s">
        <v>97</v>
      </c>
      <c r="C13" s="24" t="e">
        <f ca="1">$J$5&amp;"DR3T " &amp;  $D$4 &amp;" Index"</f>
        <v>#NAME?</v>
      </c>
      <c r="D13" s="25" t="e">
        <f ca="1">IF(ISNUMBER(_xll.BDP(C13,$D$11,"UpdFreq="&amp;$A$6)),(_xll.BDP(C13,$D$11,"UpdFreq="&amp;$A$6)+G13)/100,(_xll.BDP(C13,"LAST PRICE","UpdFreq="&amp;$A$6)+G13)/100)</f>
        <v>#NAME?</v>
      </c>
      <c r="E13" s="25" t="e">
        <f ca="1">IF(ISNUMBER(_xll.BDP(C13,$E$11,"UpdFreq="&amp;$A$6)),(_xll.BDP(C13,$E$11,"UpdFreq="&amp;$A$6)+G13)/100,(_xll.BDP(C13,"LAST PRICE","UpdFreq="&amp;$A$6)+G13)/100)</f>
        <v>#NAME?</v>
      </c>
      <c r="F13" s="25" t="e">
        <f t="shared" ref="F13:F46" ca="1" si="1">AVERAGE(D13,E13)</f>
        <v>#NAME?</v>
      </c>
      <c r="G13" s="78"/>
      <c r="H13" s="26">
        <f t="shared" si="0"/>
        <v>1</v>
      </c>
      <c r="I13" s="26" t="s">
        <v>27</v>
      </c>
      <c r="J13" s="63" t="e">
        <f ca="1">$H$4</f>
        <v>#NAME?</v>
      </c>
      <c r="K13" s="96" t="e">
        <f ca="1">_xll.BAddPeriods($J13,"Per="&amp;I13,"NumberOfPeriods="&amp;H13,$J$3,$J$4)</f>
        <v>#NAME?</v>
      </c>
      <c r="L13" s="92"/>
    </row>
    <row r="14" spans="1:32" ht="12.75" customHeight="1">
      <c r="A14" s="293"/>
      <c r="B14" s="23" t="s">
        <v>47</v>
      </c>
      <c r="C14" s="168" t="s">
        <v>168</v>
      </c>
      <c r="D14" s="25" t="e">
        <f ca="1">IF(ISNUMBER(_xll.BDP(C14,$D$11,"UpdFreq="&amp;$A$6)),(_xll.BDP(C14,$D$11,"UpdFreq="&amp;$A$6)+G14)/100,(_xll.BDP(C14,"LAST PRICE","UpdFreq="&amp;$A$6)+G14)/100)</f>
        <v>#NAME?</v>
      </c>
      <c r="E14" s="25" t="e">
        <f ca="1">IF(ISNUMBER(_xll.BDP(C14,$E$11,"UpdFreq="&amp;$A$6)),(_xll.BDP(C14,$E$11,"UpdFreq="&amp;$A$6)+G14)/100,(_xll.BDP(C14,"LAST PRICE","UpdFreq="&amp;$A$6)+G14)/100)</f>
        <v>#NAME?</v>
      </c>
      <c r="F14" s="25" t="e">
        <f t="shared" ca="1" si="1"/>
        <v>#NAME?</v>
      </c>
      <c r="G14" s="73"/>
      <c r="H14" s="26">
        <f t="shared" si="0"/>
        <v>1</v>
      </c>
      <c r="I14" s="26" t="s">
        <v>28</v>
      </c>
      <c r="J14" s="63" t="e">
        <f ca="1">$H$4</f>
        <v>#NAME?</v>
      </c>
      <c r="K14" s="96" t="e">
        <f ca="1">_xll.BAddPeriods($J14,"Per="&amp;I14,"NumberOfPeriods="&amp;H14,$J$3,$J$4)</f>
        <v>#NAME?</v>
      </c>
      <c r="L14" s="92"/>
    </row>
    <row r="15" spans="1:32">
      <c r="A15" s="293"/>
      <c r="B15" s="23" t="s">
        <v>48</v>
      </c>
      <c r="C15" s="168" t="s">
        <v>164</v>
      </c>
      <c r="D15" s="25" t="e">
        <f ca="1">IF(ISNUMBER(_xll.BDP(C15,$D$11,"UpdFreq="&amp;$A$6)),(_xll.BDP(C15,$D$11,"UpdFreq="&amp;$A$6)+G15)/100,(_xll.BDP(C15,"LAST PRICE","UpdFreq="&amp;$A$6)+G15)/100)</f>
        <v>#NAME?</v>
      </c>
      <c r="E15" s="25" t="e">
        <f ca="1">IF(ISNUMBER(_xll.BDP(C15,$E$11,"UpdFreq="&amp;$A$6)),(_xll.BDP(C15,$E$11,"UpdFreq="&amp;$A$6)+G15)/100,(_xll.BDP(C15,"LAST PRICE","UpdFreq="&amp;$A$6)+G15)/100)</f>
        <v>#NAME?</v>
      </c>
      <c r="F15" s="25" t="e">
        <f t="shared" ca="1" si="1"/>
        <v>#NAME?</v>
      </c>
      <c r="G15" s="73"/>
      <c r="H15" s="26">
        <f t="shared" si="0"/>
        <v>1</v>
      </c>
      <c r="I15" s="26" t="s">
        <v>29</v>
      </c>
      <c r="J15" s="63" t="e">
        <f ca="1">$H$4</f>
        <v>#NAME?</v>
      </c>
      <c r="K15" s="96" t="e">
        <f ca="1">_xll.BAddPeriods($J15,"Per="&amp;I15,"NumberOfPeriods="&amp;H15,$J$3,$J$4)</f>
        <v>#NAME?</v>
      </c>
      <c r="L15" s="92"/>
    </row>
    <row r="16" spans="1:32">
      <c r="A16" s="293"/>
      <c r="B16" s="23" t="s">
        <v>49</v>
      </c>
      <c r="C16" s="168" t="s">
        <v>165</v>
      </c>
      <c r="D16" s="25" t="e">
        <f ca="1">IF(ISNUMBER(_xll.BDP(C16,$D$11,"UpdFreq="&amp;$A$6)),(_xll.BDP(C16,$D$11,"UpdFreq="&amp;$A$6)+G16)/100,(_xll.BDP(C16,"LAST PRICE","UpdFreq="&amp;$A$6)+G16)/100)</f>
        <v>#NAME?</v>
      </c>
      <c r="E16" s="25" t="e">
        <f ca="1">IF(ISNUMBER(_xll.BDP(C16,$E$11,"UpdFreq="&amp;$A$6)),(_xll.BDP(C16,$E$11,"UpdFreq="&amp;$A$6)+G16)/100,(_xll.BDP(C16,"LAST PRICE","UpdFreq="&amp;$A$6)+G16)/100)</f>
        <v>#NAME?</v>
      </c>
      <c r="F16" s="25" t="e">
        <f t="shared" ca="1" si="1"/>
        <v>#NAME?</v>
      </c>
      <c r="G16" s="73"/>
      <c r="H16" s="26">
        <f t="shared" si="0"/>
        <v>2</v>
      </c>
      <c r="I16" s="26" t="s">
        <v>29</v>
      </c>
      <c r="J16" s="63" t="e">
        <f ca="1">$H$4</f>
        <v>#NAME?</v>
      </c>
      <c r="K16" s="96" t="e">
        <f ca="1">_xll.BAddPeriods($J16,"Per="&amp;I16,"NumberOfPeriods="&amp;H16,$J$3,$J$4)</f>
        <v>#NAME?</v>
      </c>
      <c r="L16" s="92"/>
    </row>
    <row r="17" spans="1:14">
      <c r="A17" s="293"/>
      <c r="B17" s="27" t="s">
        <v>50</v>
      </c>
      <c r="C17" s="168" t="s">
        <v>123</v>
      </c>
      <c r="D17" s="29" t="e">
        <f ca="1">IF(ISNUMBER(_xll.BDP(C17,$D$11,"UpdFreq="&amp;$A$6)),(_xll.BDP(C17,$D$11,"UpdFreq="&amp;$A$6)+G17)/100,(_xll.BDP(C17,"LAST PRICE","UpdFreq="&amp;$A$6)+G17)/100)</f>
        <v>#NAME?</v>
      </c>
      <c r="E17" s="29" t="e">
        <f ca="1">IF(ISNUMBER(_xll.BDP(C17,$E$11,"UpdFreq="&amp;$A$6)),(_xll.BDP(C17,$E$11,"UpdFreq="&amp;$A$6)+G17)/100,(_xll.BDP(C17,"LAST PRICE","UpdFreq="&amp;$A$6)+G17)/100)</f>
        <v>#NAME?</v>
      </c>
      <c r="F17" s="29" t="e">
        <f t="shared" ca="1" si="1"/>
        <v>#NAME?</v>
      </c>
      <c r="G17" s="73"/>
      <c r="H17" s="30">
        <f t="shared" si="0"/>
        <v>3</v>
      </c>
      <c r="I17" s="30" t="s">
        <v>29</v>
      </c>
      <c r="J17" s="64" t="e">
        <f ca="1">$H$4</f>
        <v>#NAME?</v>
      </c>
      <c r="K17" s="97" t="e">
        <f ca="1">_xll.BAddPeriods($J17,"Per="&amp;I17,"NumberOfPeriods="&amp;H17,$J$3,$J$4)</f>
        <v>#NAME?</v>
      </c>
      <c r="L17" s="92"/>
    </row>
    <row r="18" spans="1:14">
      <c r="A18" s="294" t="s">
        <v>99</v>
      </c>
      <c r="B18" s="108" t="s">
        <v>98</v>
      </c>
      <c r="C18" s="108" t="e">
        <f ca="1">$J$5&amp;"FR0AD "&amp;  $D$4 &amp;" Index"</f>
        <v>#NAME?</v>
      </c>
      <c r="D18" s="109" t="e">
        <f ca="1">IF(ISNUMBER(_xll.BDP($C18,D$11,"UpdFreq="&amp;$A$6)),(_xll.BDP($C18,D$11,"UpdFreq="&amp;$A$6)+$G18)/100,(_xll.BDP($C18,"LAST PRICE","UpdFreq="&amp;$A$6)+$G18)/100)</f>
        <v>#NAME?</v>
      </c>
      <c r="E18" s="109" t="e">
        <f ca="1">IF(ISNUMBER(_xll.BDP($C18,E$11,"UpdFreq="&amp;$A$6)),(_xll.BDP($C18,E$11,"UpdFreq="&amp;$A$6)+$G18)/100,(_xll.BDP($C18,"LAST PRICE","UpdFreq="&amp;$A$6)+$G18)/100)</f>
        <v>#NAME?</v>
      </c>
      <c r="F18" s="109" t="e">
        <f ca="1">IF(ISNUMBER(_xll.BDP($C18,F$11,"UpdFreq="&amp;$A$6)),(_xll.BDP($C18,F$11,"UpdFreq="&amp;$A$6)+$G18)/100,(_xll.BDP($C18,"LAST PRICE","UpdFreq="&amp;$A$6)+$G18)/100)</f>
        <v>#NAME?</v>
      </c>
      <c r="G18" s="93"/>
      <c r="H18" s="104">
        <f t="shared" si="0"/>
        <v>1</v>
      </c>
      <c r="I18" s="104" t="s">
        <v>29</v>
      </c>
      <c r="J18" s="110" t="e">
        <f ca="1">_xll.BAddPeriods($H$4,"Per="&amp;I18,"NumberOfPeriods="&amp;H18,$J$3,$J$4)</f>
        <v>#NAME?</v>
      </c>
      <c r="K18" s="105" t="e">
        <f ca="1">_xll.BAddPeriods($J18,"Per="&amp;I18,"NumberOfPeriods="&amp;3,$J$3,$J$4)</f>
        <v>#NAME?</v>
      </c>
      <c r="L18" s="77"/>
    </row>
    <row r="19" spans="1:14">
      <c r="A19" s="294"/>
      <c r="B19" s="111" t="s">
        <v>100</v>
      </c>
      <c r="C19" s="111" t="e">
        <f ca="1">$J$5&amp;"FR0BE "&amp;  $D$4 &amp;" Index"</f>
        <v>#NAME?</v>
      </c>
      <c r="D19" s="112" t="e">
        <f ca="1">IF(ISNUMBER(_xll.BDP($C19,D$11,"UpdFreq="&amp;$A$6)),(_xll.BDP($C19,D$11,"UpdFreq="&amp;$A$6)+$G19)/100,(_xll.BDP($C19,"LAST PRICE","UpdFreq="&amp;$A$6)+$G19)/100)</f>
        <v>#NAME?</v>
      </c>
      <c r="E19" s="112" t="e">
        <f ca="1">IF(ISNUMBER(_xll.BDP($C19,E$11,"UpdFreq="&amp;$A$6)),(_xll.BDP($C19,E$11,"UpdFreq="&amp;$A$6)+$G19)/100,(_xll.BDP($C19,"LAST PRICE","UpdFreq="&amp;$A$6)+$G19)/100)</f>
        <v>#NAME?</v>
      </c>
      <c r="F19" s="112" t="e">
        <f ca="1">IF(ISNUMBER(_xll.BDP($C19,F$11,"UpdFreq="&amp;$A$6)),(_xll.BDP($C19,F$11,"UpdFreq="&amp;$A$6)+$G19)/100,(_xll.BDP($C19,"LAST PRICE","UpdFreq="&amp;$A$6)+$G19)/100)</f>
        <v>#NAME?</v>
      </c>
      <c r="G19" s="93"/>
      <c r="H19" s="102">
        <f t="shared" si="0"/>
        <v>2</v>
      </c>
      <c r="I19" s="102" t="s">
        <v>29</v>
      </c>
      <c r="J19" s="113" t="e">
        <f ca="1">_xll.BAddPeriods($H$4,"Per="&amp;I19,"NumberOfPeriods="&amp;H19,$J$3,$J$4)</f>
        <v>#NAME?</v>
      </c>
      <c r="K19" s="103" t="e">
        <f ca="1">_xll.BAddPeriods($J19,"Per="&amp;I19,"NumberOfPeriods="&amp;3,$J$3,$J$4)</f>
        <v>#NAME?</v>
      </c>
      <c r="L19" s="77"/>
    </row>
    <row r="20" spans="1:14">
      <c r="A20" s="295"/>
      <c r="B20" s="114" t="s">
        <v>101</v>
      </c>
      <c r="C20" s="114" t="e">
        <f ca="1">$J$5&amp;"FR0CF "&amp;  $D$4 &amp;" Index"</f>
        <v>#NAME?</v>
      </c>
      <c r="D20" s="115" t="e">
        <f ca="1">IF(ISNUMBER(_xll.BDP($C20,D$11,"UpdFreq="&amp;$A$6)),(_xll.BDP($C20,D$11,"UpdFreq="&amp;$A$6)+$G20)/100,(_xll.BDP($C20,"LAST PRICE","UpdFreq="&amp;$A$6)+$G20)/100)</f>
        <v>#NAME?</v>
      </c>
      <c r="E20" s="115" t="e">
        <f ca="1">IF(ISNUMBER(_xll.BDP($C20,E$11,"UpdFreq="&amp;$A$6)),(_xll.BDP($C20,E$11,"UpdFreq="&amp;$A$6)+$G20)/100,(_xll.BDP($C20,"LAST PRICE","UpdFreq="&amp;$A$6)+$G20)/100)</f>
        <v>#NAME?</v>
      </c>
      <c r="F20" s="115" t="e">
        <f ca="1">IF(ISNUMBER(_xll.BDP($C20,F$11,"UpdFreq="&amp;$A$6)),(_xll.BDP($C20,F$11,"UpdFreq="&amp;$A$6)+$G20)/100,(_xll.BDP($C20,"LAST PRICE","UpdFreq="&amp;$A$6)+$G20)/100)</f>
        <v>#NAME?</v>
      </c>
      <c r="G20" s="93"/>
      <c r="H20" s="106">
        <f t="shared" si="0"/>
        <v>3</v>
      </c>
      <c r="I20" s="106" t="s">
        <v>29</v>
      </c>
      <c r="J20" s="116" t="e">
        <f ca="1">_xll.BAddPeriods($H$4,"Per="&amp;I20,"NumberOfPeriods="&amp;H20,$J$3,$J$4)</f>
        <v>#NAME?</v>
      </c>
      <c r="K20" s="107" t="e">
        <f ca="1">_xll.BAddPeriods($J20,"Per="&amp;I20,"NumberOfPeriods="&amp;3,$J$3,$J$4)</f>
        <v>#NAME?</v>
      </c>
      <c r="L20" s="77"/>
    </row>
    <row r="21" spans="1:14">
      <c r="A21" s="289" t="s">
        <v>0</v>
      </c>
      <c r="B21" s="31" t="s">
        <v>188</v>
      </c>
      <c r="C21" s="31" t="str">
        <f>futures_code &amp; B21 &amp;" Comdty"</f>
        <v>ERZ2 Comdty</v>
      </c>
      <c r="D21" s="32" t="e">
        <f ca="1">1-_xll.BDP($C21,$D$11,"UpdFreq="&amp;$A$6)/100</f>
        <v>#NAME?</v>
      </c>
      <c r="E21" s="32" t="e">
        <f ca="1">1-_xll.BDP($C21,$E$11,"UpdFreq="&amp;$A$6)/100</f>
        <v>#NAME?</v>
      </c>
      <c r="F21" s="32" t="e">
        <f t="shared" ca="1" si="1"/>
        <v>#NAME?</v>
      </c>
      <c r="G21" s="93"/>
      <c r="H21" s="35">
        <v>3</v>
      </c>
      <c r="I21" s="35" t="s">
        <v>29</v>
      </c>
      <c r="J21" s="52" t="e">
        <f ca="1">DATEVALUE(_xll.BDP(C21,"INT_RATE_FUT_START_DT"))</f>
        <v>#NAME?</v>
      </c>
      <c r="K21" s="94" t="e">
        <f ca="1">_xll.BAddPeriods($J21,"Per="&amp;I21,"NumberOfPeriods="&amp;H21,$J$3,$J$4)</f>
        <v>#NAME?</v>
      </c>
      <c r="L21" s="77"/>
      <c r="M21">
        <v>1</v>
      </c>
      <c r="N21" t="s">
        <v>188</v>
      </c>
    </row>
    <row r="22" spans="1:14">
      <c r="A22" s="290"/>
      <c r="B22" s="33" t="s">
        <v>189</v>
      </c>
      <c r="C22" s="33" t="str">
        <f t="shared" ref="C22:C28" si="2">futures_code &amp; B22 &amp;" Comdty"</f>
        <v>ERH3 Comdty</v>
      </c>
      <c r="D22" s="34" t="e">
        <f ca="1">1-_xll.BDP($C22,$D$11,"UpdFreq="&amp;$A$6)/100</f>
        <v>#NAME?</v>
      </c>
      <c r="E22" s="34" t="e">
        <f ca="1">1-_xll.BDP($C22,$E$11,"UpdFreq="&amp;$A$6)/100</f>
        <v>#NAME?</v>
      </c>
      <c r="F22" s="34" t="e">
        <f t="shared" ca="1" si="1"/>
        <v>#NAME?</v>
      </c>
      <c r="G22" s="93"/>
      <c r="H22" s="35">
        <v>3</v>
      </c>
      <c r="I22" s="35" t="s">
        <v>29</v>
      </c>
      <c r="J22" s="52" t="e">
        <f ca="1">DATEVALUE(_xll.BDP(C22,"INT_RATE_FUT_START_DT"))</f>
        <v>#NAME?</v>
      </c>
      <c r="K22" s="94" t="e">
        <f ca="1">_xll.BAddPeriods($J22,"Per="&amp;I22,"NumberOfPeriods="&amp;H22,$J$3,$J$4)</f>
        <v>#NAME?</v>
      </c>
      <c r="L22" s="77"/>
      <c r="M22">
        <v>2</v>
      </c>
      <c r="N22" t="s">
        <v>189</v>
      </c>
    </row>
    <row r="23" spans="1:14">
      <c r="A23" s="290"/>
      <c r="B23" s="33" t="s">
        <v>190</v>
      </c>
      <c r="C23" s="33" t="str">
        <f t="shared" si="2"/>
        <v>ERM3 Comdty</v>
      </c>
      <c r="D23" s="34" t="e">
        <f ca="1">1-_xll.BDP($C23,$D$11,"UpdFreq="&amp;$A$6)/100</f>
        <v>#NAME?</v>
      </c>
      <c r="E23" s="34" t="e">
        <f ca="1">1-_xll.BDP($C23,$E$11,"UpdFreq="&amp;$A$6)/100</f>
        <v>#NAME?</v>
      </c>
      <c r="F23" s="34" t="e">
        <f t="shared" ca="1" si="1"/>
        <v>#NAME?</v>
      </c>
      <c r="G23" s="93"/>
      <c r="H23" s="35">
        <v>3</v>
      </c>
      <c r="I23" s="35" t="s">
        <v>29</v>
      </c>
      <c r="J23" s="52" t="e">
        <f ca="1">DATEVALUE(_xll.BDP(C23,"INT_RATE_FUT_START_DT"))</f>
        <v>#NAME?</v>
      </c>
      <c r="K23" s="94" t="e">
        <f ca="1">_xll.BAddPeriods($J23,"Per="&amp;I23,"NumberOfPeriods="&amp;H23,$J$3,$J$4)</f>
        <v>#NAME?</v>
      </c>
      <c r="L23" s="77"/>
      <c r="M23">
        <v>3</v>
      </c>
      <c r="N23" t="s">
        <v>190</v>
      </c>
    </row>
    <row r="24" spans="1:14">
      <c r="A24" s="290"/>
      <c r="B24" s="33" t="s">
        <v>191</v>
      </c>
      <c r="C24" s="33" t="str">
        <f t="shared" si="2"/>
        <v>ERU3 Comdty</v>
      </c>
      <c r="D24" s="34" t="e">
        <f ca="1">1-_xll.BDP($C24,$D$11,"UpdFreq="&amp;$A$6)/100</f>
        <v>#NAME?</v>
      </c>
      <c r="E24" s="34" t="e">
        <f ca="1">1-_xll.BDP($C24,$E$11,"UpdFreq="&amp;$A$6)/100</f>
        <v>#NAME?</v>
      </c>
      <c r="F24" s="34" t="e">
        <f t="shared" ca="1" si="1"/>
        <v>#NAME?</v>
      </c>
      <c r="G24" s="93"/>
      <c r="H24" s="35">
        <v>3</v>
      </c>
      <c r="I24" s="35" t="s">
        <v>29</v>
      </c>
      <c r="J24" s="52" t="e">
        <f ca="1">DATEVALUE(_xll.BDP(C24,"INT_RATE_FUT_START_DT"))</f>
        <v>#NAME?</v>
      </c>
      <c r="K24" s="94" t="e">
        <f ca="1">_xll.BAddPeriods($J24,"Per="&amp;I24,"NumberOfPeriods="&amp;H24,$J$3,$J$4)</f>
        <v>#NAME?</v>
      </c>
      <c r="L24" s="77"/>
      <c r="M24">
        <v>4</v>
      </c>
      <c r="N24" t="s">
        <v>191</v>
      </c>
    </row>
    <row r="25" spans="1:14">
      <c r="A25" s="290"/>
      <c r="B25" s="33" t="s">
        <v>192</v>
      </c>
      <c r="C25" s="33" t="str">
        <f t="shared" si="2"/>
        <v>ERZ3 Comdty</v>
      </c>
      <c r="D25" s="34" t="e">
        <f ca="1">1-_xll.BDP($C25,$D$11,"UpdFreq="&amp;$A$6)/100</f>
        <v>#NAME?</v>
      </c>
      <c r="E25" s="34" t="e">
        <f ca="1">1-_xll.BDP($C25,$E$11,"UpdFreq="&amp;$A$6)/100</f>
        <v>#NAME?</v>
      </c>
      <c r="F25" s="34" t="e">
        <f t="shared" ca="1" si="1"/>
        <v>#NAME?</v>
      </c>
      <c r="G25" s="93"/>
      <c r="H25" s="35">
        <v>3</v>
      </c>
      <c r="I25" s="35" t="s">
        <v>29</v>
      </c>
      <c r="J25" s="52" t="e">
        <f ca="1">DATEVALUE(_xll.BDP(C25,"INT_RATE_FUT_START_DT"))</f>
        <v>#NAME?</v>
      </c>
      <c r="K25" s="94" t="e">
        <f ca="1">_xll.BAddPeriods($J25,"Per="&amp;I25,"NumberOfPeriods="&amp;H25,$J$3,$J$4)</f>
        <v>#NAME?</v>
      </c>
      <c r="L25" s="77"/>
      <c r="M25">
        <v>5</v>
      </c>
      <c r="N25" t="s">
        <v>192</v>
      </c>
    </row>
    <row r="26" spans="1:14">
      <c r="A26" s="290"/>
      <c r="B26" s="33" t="s">
        <v>193</v>
      </c>
      <c r="C26" s="33" t="str">
        <f t="shared" si="2"/>
        <v>ERH4 Comdty</v>
      </c>
      <c r="D26" s="34" t="e">
        <f ca="1">1-_xll.BDP($C26,$D$11,"UpdFreq="&amp;$A$6)/100</f>
        <v>#NAME?</v>
      </c>
      <c r="E26" s="34" t="e">
        <f ca="1">1-_xll.BDP($C26,$E$11,"UpdFreq="&amp;$A$6)/100</f>
        <v>#NAME?</v>
      </c>
      <c r="F26" s="34" t="e">
        <f t="shared" ca="1" si="1"/>
        <v>#NAME?</v>
      </c>
      <c r="G26" s="93"/>
      <c r="H26" s="35">
        <v>3</v>
      </c>
      <c r="I26" s="35" t="s">
        <v>29</v>
      </c>
      <c r="J26" s="52" t="e">
        <f ca="1">DATEVALUE(_xll.BDP(C26,"INT_RATE_FUT_START_DT"))</f>
        <v>#NAME?</v>
      </c>
      <c r="K26" s="94" t="e">
        <f ca="1">_xll.BAddPeriods($J26,"Per="&amp;I26,"NumberOfPeriods="&amp;H26,$J$3,$J$4)</f>
        <v>#NAME?</v>
      </c>
      <c r="L26" s="77"/>
      <c r="M26">
        <v>6</v>
      </c>
      <c r="N26" t="s">
        <v>193</v>
      </c>
    </row>
    <row r="27" spans="1:14">
      <c r="A27" s="290"/>
      <c r="B27" s="33" t="s">
        <v>194</v>
      </c>
      <c r="C27" s="33" t="str">
        <f t="shared" si="2"/>
        <v>ERM4 Comdty</v>
      </c>
      <c r="D27" s="34" t="e">
        <f ca="1">1-_xll.BDP($C27,$D$11,"UpdFreq="&amp;$A$6)/100</f>
        <v>#NAME?</v>
      </c>
      <c r="E27" s="34" t="e">
        <f ca="1">1-_xll.BDP($C27,$E$11,"UpdFreq="&amp;$A$6)/100</f>
        <v>#NAME?</v>
      </c>
      <c r="F27" s="34" t="e">
        <f t="shared" ca="1" si="1"/>
        <v>#NAME?</v>
      </c>
      <c r="G27" s="93"/>
      <c r="H27" s="35">
        <v>3</v>
      </c>
      <c r="I27" s="35" t="s">
        <v>29</v>
      </c>
      <c r="J27" s="52" t="e">
        <f ca="1">DATEVALUE(_xll.BDP(C27,"INT_RATE_FUT_START_DT"))</f>
        <v>#NAME?</v>
      </c>
      <c r="K27" s="94" t="e">
        <f ca="1">_xll.BAddPeriods($J27,"Per="&amp;I27,"NumberOfPeriods="&amp;H27,$J$3,$J$4)</f>
        <v>#NAME?</v>
      </c>
      <c r="L27" s="77"/>
      <c r="M27">
        <v>7</v>
      </c>
      <c r="N27" t="s">
        <v>194</v>
      </c>
    </row>
    <row r="28" spans="1:14">
      <c r="A28" s="291"/>
      <c r="B28" s="36" t="s">
        <v>205</v>
      </c>
      <c r="C28" s="36" t="str">
        <f t="shared" si="2"/>
        <v>ERU4 Comdty</v>
      </c>
      <c r="D28" s="37" t="e">
        <f ca="1">1-_xll.BDP($C28,$D$11,"UpdFreq="&amp;$A$6)/100</f>
        <v>#NAME?</v>
      </c>
      <c r="E28" s="37" t="e">
        <f ca="1">1-_xll.BDP($C28,$E$11,"UpdFreq="&amp;$A$6)/100</f>
        <v>#NAME?</v>
      </c>
      <c r="F28" s="37" t="e">
        <f t="shared" ca="1" si="1"/>
        <v>#NAME?</v>
      </c>
      <c r="G28" s="93"/>
      <c r="H28" s="38">
        <v>3</v>
      </c>
      <c r="I28" s="38" t="s">
        <v>29</v>
      </c>
      <c r="J28" s="53" t="e">
        <f ca="1">DATEVALUE(_xll.BDP(C28,"INT_RATE_FUT_START_DT"))</f>
        <v>#NAME?</v>
      </c>
      <c r="K28" s="94" t="e">
        <f ca="1">_xll.BAddPeriods($J28,"Per="&amp;I28,"NumberOfPeriods="&amp;H28,$J$3,$J$4)</f>
        <v>#NAME?</v>
      </c>
      <c r="L28" s="77"/>
      <c r="M28">
        <v>8</v>
      </c>
      <c r="N28" t="s">
        <v>205</v>
      </c>
    </row>
    <row r="29" spans="1:14">
      <c r="A29" s="286" t="s">
        <v>5</v>
      </c>
      <c r="B29" s="39" t="s">
        <v>3</v>
      </c>
      <c r="C29" s="44" t="e">
        <f t="shared" ref="C29:C37" ca="1" si="3">$J$5 &amp; "SW" &amp; LEFT(B29,1)&amp;"V3" &amp;" " &amp; $D$5&amp; " Index"</f>
        <v>#NAME?</v>
      </c>
      <c r="D29" s="41" t="e">
        <f ca="1">IF(ISNUMBER(_xll.BDP(C29,$D$11,"UpdFreq="&amp;$A$6)),(_xll.BDP(C29,$D$11,"UpdFreq="&amp;$A$6)+G29)/100,(_xll.BDP(C29,"LAST PRICE","UpdFreq="&amp;$A$6)+G29)/100)</f>
        <v>#NAME?</v>
      </c>
      <c r="E29" s="41" t="e">
        <f ca="1">IF(ISNUMBER(_xll.BDP(C29,$E$11,"UpdFreq="&amp;$A$6)),(_xll.BDP(C29,$E$11,"UpdFreq="&amp;$A$6)+G29)/100,(_xll.BDP(C29,"LAST PRICE","UpdFreq="&amp;$A$6)+G29)/100)</f>
        <v>#NAME?</v>
      </c>
      <c r="F29" s="41" t="e">
        <f t="shared" ca="1" si="1"/>
        <v>#NAME?</v>
      </c>
      <c r="G29" s="73"/>
      <c r="H29" s="42">
        <v>1</v>
      </c>
      <c r="I29" s="42" t="s">
        <v>30</v>
      </c>
      <c r="J29" s="61" t="e">
        <f ca="1">$H$4</f>
        <v>#NAME?</v>
      </c>
      <c r="K29" s="83" t="e">
        <f ca="1">_xll.BAddPeriods($H$4,"Per="&amp;I29,"NumberOfPeriods="&amp;H29,$J$3,$J$4)</f>
        <v>#NAME?</v>
      </c>
      <c r="L29" s="92"/>
    </row>
    <row r="30" spans="1:14">
      <c r="A30" s="286"/>
      <c r="B30" s="43" t="s">
        <v>7</v>
      </c>
      <c r="C30" s="44" t="e">
        <f t="shared" ca="1" si="3"/>
        <v>#NAME?</v>
      </c>
      <c r="D30" s="45" t="e">
        <f ca="1">IF(ISNUMBER(_xll.BDP(C30,$D$11,"UpdFreq="&amp;$A$6)),(_xll.BDP(C30,$D$11,"UpdFreq="&amp;$A$6)+G30)/100,(_xll.BDP(C30,"LAST PRICE","UpdFreq="&amp;$A$6)+G30)/100)</f>
        <v>#NAME?</v>
      </c>
      <c r="E30" s="45" t="e">
        <f ca="1">IF(ISNUMBER(_xll.BDP(C30,$E$11,"UpdFreq="&amp;$A$6)),(_xll.BDP(C30,$E$11,"UpdFreq="&amp;$A$6)+G30)/100,(_xll.BDP(C30,"LAST PRICE","UpdFreq="&amp;$A$6)+G30)/100)</f>
        <v>#NAME?</v>
      </c>
      <c r="F30" s="45" t="e">
        <f t="shared" ca="1" si="1"/>
        <v>#NAME?</v>
      </c>
      <c r="G30" s="73"/>
      <c r="H30" s="46">
        <f t="shared" ref="H30:H46" si="4">VALUE(LEFT(B30,2))</f>
        <v>2</v>
      </c>
      <c r="I30" s="46" t="s">
        <v>30</v>
      </c>
      <c r="J30" s="65"/>
      <c r="K30" s="81" t="e">
        <f ca="1">_xll.BAddPeriods($H$4,"Per="&amp;I30,"NumberOfPeriods="&amp;H30,$J$3,$J$4)</f>
        <v>#NAME?</v>
      </c>
      <c r="L30" s="92"/>
    </row>
    <row r="31" spans="1:14">
      <c r="A31" s="286"/>
      <c r="B31" s="43" t="s">
        <v>8</v>
      </c>
      <c r="C31" s="44" t="e">
        <f t="shared" ca="1" si="3"/>
        <v>#NAME?</v>
      </c>
      <c r="D31" s="45" t="e">
        <f ca="1">IF(ISNUMBER(_xll.BDP(C31,$D$11,"UpdFreq="&amp;$A$6)),(_xll.BDP(C31,$D$11,"UpdFreq="&amp;$A$6)+G31)/100,(_xll.BDP(C31,"LAST PRICE","UpdFreq="&amp;$A$6)+G31)/100)</f>
        <v>#NAME?</v>
      </c>
      <c r="E31" s="45" t="e">
        <f ca="1">IF(ISNUMBER(_xll.BDP(C31,$E$11,"UpdFreq="&amp;$A$6)),(_xll.BDP(C31,$E$11,"UpdFreq="&amp;$A$6)+G31)/100,(_xll.BDP(C31,"LAST PRICE","UpdFreq="&amp;$A$6)+G31)/100)</f>
        <v>#NAME?</v>
      </c>
      <c r="F31" s="45" t="e">
        <f t="shared" ca="1" si="1"/>
        <v>#NAME?</v>
      </c>
      <c r="G31" s="73"/>
      <c r="H31" s="46">
        <f t="shared" si="4"/>
        <v>3</v>
      </c>
      <c r="I31" s="46" t="s">
        <v>30</v>
      </c>
      <c r="J31" s="65"/>
      <c r="K31" s="81" t="e">
        <f ca="1">_xll.BAddPeriods($H$4,"Per="&amp;I31,"NumberOfPeriods="&amp;H31,$J$3,$J$4)</f>
        <v>#NAME?</v>
      </c>
      <c r="L31" s="92"/>
    </row>
    <row r="32" spans="1:14">
      <c r="A32" s="286"/>
      <c r="B32" s="43" t="s">
        <v>9</v>
      </c>
      <c r="C32" s="44" t="e">
        <f t="shared" ca="1" si="3"/>
        <v>#NAME?</v>
      </c>
      <c r="D32" s="45" t="e">
        <f ca="1">IF(ISNUMBER(_xll.BDP(C32,$D$11,"UpdFreq="&amp;$A$6)),(_xll.BDP(C32,$D$11,"UpdFreq="&amp;$A$6)+G32)/100,(_xll.BDP(C32,"LAST PRICE","UpdFreq="&amp;$A$6)+G32)/100)</f>
        <v>#NAME?</v>
      </c>
      <c r="E32" s="45" t="e">
        <f ca="1">IF(ISNUMBER(_xll.BDP(C32,$E$11,"UpdFreq="&amp;$A$6)),(_xll.BDP(C32,$E$11,"UpdFreq="&amp;$A$6)+G32)/100,(_xll.BDP(C32,"LAST PRICE","UpdFreq="&amp;$A$6)+G32)/100)</f>
        <v>#NAME?</v>
      </c>
      <c r="F32" s="45" t="e">
        <f t="shared" ca="1" si="1"/>
        <v>#NAME?</v>
      </c>
      <c r="G32" s="73"/>
      <c r="H32" s="46">
        <f t="shared" si="4"/>
        <v>4</v>
      </c>
      <c r="I32" s="46" t="s">
        <v>30</v>
      </c>
      <c r="J32" s="65"/>
      <c r="K32" s="81" t="e">
        <f ca="1">_xll.BAddPeriods($H$4,"Per="&amp;I32,"NumberOfPeriods="&amp;H32,$J$3,$J$4)</f>
        <v>#NAME?</v>
      </c>
      <c r="L32" s="92"/>
    </row>
    <row r="33" spans="1:12">
      <c r="A33" s="286"/>
      <c r="B33" s="43" t="s">
        <v>10</v>
      </c>
      <c r="C33" s="44" t="e">
        <f t="shared" ca="1" si="3"/>
        <v>#NAME?</v>
      </c>
      <c r="D33" s="45" t="e">
        <f ca="1">IF(ISNUMBER(_xll.BDP(C33,$D$11,"UpdFreq="&amp;$A$6)),(_xll.BDP(C33,$D$11,"UpdFreq="&amp;$A$6)+G33)/100,(_xll.BDP(C33,"LAST PRICE","UpdFreq="&amp;$A$6)+G33)/100)</f>
        <v>#NAME?</v>
      </c>
      <c r="E33" s="45" t="e">
        <f ca="1">IF(ISNUMBER(_xll.BDP(C33,$E$11,"UpdFreq="&amp;$A$6)),(_xll.BDP(C33,$E$11,"UpdFreq="&amp;$A$6)+G33)/100,(_xll.BDP(C33,"LAST PRICE","UpdFreq="&amp;$A$6)+G33)/100)</f>
        <v>#NAME?</v>
      </c>
      <c r="F33" s="45" t="e">
        <f t="shared" ca="1" si="1"/>
        <v>#NAME?</v>
      </c>
      <c r="G33" s="73"/>
      <c r="H33" s="46">
        <f t="shared" si="4"/>
        <v>5</v>
      </c>
      <c r="I33" s="46" t="s">
        <v>30</v>
      </c>
      <c r="J33" s="65"/>
      <c r="K33" s="81" t="e">
        <f ca="1">_xll.BAddPeriods($H$4,"Per="&amp;I33,"NumberOfPeriods="&amp;H33,$J$3,$J$4)</f>
        <v>#NAME?</v>
      </c>
      <c r="L33" s="92"/>
    </row>
    <row r="34" spans="1:12">
      <c r="A34" s="286"/>
      <c r="B34" s="43" t="s">
        <v>11</v>
      </c>
      <c r="C34" s="44" t="e">
        <f t="shared" ca="1" si="3"/>
        <v>#NAME?</v>
      </c>
      <c r="D34" s="45" t="e">
        <f ca="1">IF(ISNUMBER(_xll.BDP(C34,$D$11,"UpdFreq="&amp;$A$6)),(_xll.BDP(C34,$D$11,"UpdFreq="&amp;$A$6)+G34)/100,(_xll.BDP(C34,"LAST PRICE","UpdFreq="&amp;$A$6)+G34)/100)</f>
        <v>#NAME?</v>
      </c>
      <c r="E34" s="45" t="e">
        <f ca="1">IF(ISNUMBER(_xll.BDP(C34,$E$11,"UpdFreq="&amp;$A$6)),(_xll.BDP(C34,$E$11,"UpdFreq="&amp;$A$6)+G34)/100,(_xll.BDP(C34,"LAST PRICE","UpdFreq="&amp;$A$6)+G34)/100)</f>
        <v>#NAME?</v>
      </c>
      <c r="F34" s="45" t="e">
        <f t="shared" ca="1" si="1"/>
        <v>#NAME?</v>
      </c>
      <c r="G34" s="73"/>
      <c r="H34" s="46">
        <f t="shared" si="4"/>
        <v>6</v>
      </c>
      <c r="I34" s="46" t="s">
        <v>30</v>
      </c>
      <c r="J34" s="65"/>
      <c r="K34" s="81" t="e">
        <f ca="1">_xll.BAddPeriods($H$4,"Per="&amp;I34,"NumberOfPeriods="&amp;H34,$J$3,$J$4)</f>
        <v>#NAME?</v>
      </c>
      <c r="L34" s="92"/>
    </row>
    <row r="35" spans="1:12">
      <c r="A35" s="286"/>
      <c r="B35" s="43" t="s">
        <v>12</v>
      </c>
      <c r="C35" s="44" t="e">
        <f t="shared" ca="1" si="3"/>
        <v>#NAME?</v>
      </c>
      <c r="D35" s="45" t="e">
        <f ca="1">IF(ISNUMBER(_xll.BDP(C35,$D$11,"UpdFreq="&amp;$A$6)),(_xll.BDP(C35,$D$11,"UpdFreq="&amp;$A$6)+G35)/100,(_xll.BDP(C35,"LAST PRICE","UpdFreq="&amp;$A$6)+G35)/100)</f>
        <v>#NAME?</v>
      </c>
      <c r="E35" s="45" t="e">
        <f ca="1">IF(ISNUMBER(_xll.BDP(C35,$E$11,"UpdFreq="&amp;$A$6)),(_xll.BDP(C35,$E$11,"UpdFreq="&amp;$A$6)+G35)/100,(_xll.BDP(C35,"LAST PRICE","UpdFreq="&amp;$A$6)+G35)/100)</f>
        <v>#NAME?</v>
      </c>
      <c r="F35" s="45" t="e">
        <f t="shared" ca="1" si="1"/>
        <v>#NAME?</v>
      </c>
      <c r="G35" s="73"/>
      <c r="H35" s="46">
        <f t="shared" si="4"/>
        <v>7</v>
      </c>
      <c r="I35" s="46" t="s">
        <v>30</v>
      </c>
      <c r="J35" s="65"/>
      <c r="K35" s="81" t="e">
        <f ca="1">_xll.BAddPeriods($H$4,"Per="&amp;I35,"NumberOfPeriods="&amp;H35,$J$3,$J$4)</f>
        <v>#NAME?</v>
      </c>
      <c r="L35" s="92"/>
    </row>
    <row r="36" spans="1:12">
      <c r="A36" s="286"/>
      <c r="B36" s="43" t="s">
        <v>13</v>
      </c>
      <c r="C36" s="44" t="e">
        <f t="shared" ca="1" si="3"/>
        <v>#NAME?</v>
      </c>
      <c r="D36" s="45" t="e">
        <f ca="1">IF(ISNUMBER(_xll.BDP(C36,$D$11,"UpdFreq="&amp;$A$6)),(_xll.BDP(C36,$D$11,"UpdFreq="&amp;$A$6)+G36)/100,(_xll.BDP(C36,"LAST PRICE","UpdFreq="&amp;$A$6)+G36)/100)</f>
        <v>#NAME?</v>
      </c>
      <c r="E36" s="45" t="e">
        <f ca="1">IF(ISNUMBER(_xll.BDP(C36,$E$11,"UpdFreq="&amp;$A$6)),(_xll.BDP(C36,$E$11,"UpdFreq="&amp;$A$6)+G36)/100,(_xll.BDP(C36,"LAST PRICE","UpdFreq="&amp;$A$6)+G36)/100)</f>
        <v>#NAME?</v>
      </c>
      <c r="F36" s="45" t="e">
        <f t="shared" ca="1" si="1"/>
        <v>#NAME?</v>
      </c>
      <c r="G36" s="73"/>
      <c r="H36" s="46">
        <f t="shared" si="4"/>
        <v>8</v>
      </c>
      <c r="I36" s="46" t="s">
        <v>30</v>
      </c>
      <c r="J36" s="65"/>
      <c r="K36" s="81" t="e">
        <f ca="1">_xll.BAddPeriods($H$4,"Per="&amp;I36,"NumberOfPeriods="&amp;H36,$J$3,$J$4)</f>
        <v>#NAME?</v>
      </c>
      <c r="L36" s="92"/>
    </row>
    <row r="37" spans="1:12">
      <c r="A37" s="287"/>
      <c r="B37" s="43" t="s">
        <v>14</v>
      </c>
      <c r="C37" s="44" t="e">
        <f t="shared" ca="1" si="3"/>
        <v>#NAME?</v>
      </c>
      <c r="D37" s="45" t="e">
        <f ca="1">IF(ISNUMBER(_xll.BDP(C37,$D$11,"UpdFreq="&amp;$A$6)),(_xll.BDP(C37,$D$11,"UpdFreq="&amp;$A$6)+G37)/100,(_xll.BDP(C37,"LAST PRICE","UpdFreq="&amp;$A$6)+G37)/100)</f>
        <v>#NAME?</v>
      </c>
      <c r="E37" s="45" t="e">
        <f ca="1">IF(ISNUMBER(_xll.BDP(C37,$E$11,"UpdFreq="&amp;$A$6)),(_xll.BDP(C37,$E$11,"UpdFreq="&amp;$A$6)+G37)/100,(_xll.BDP(C37,"LAST PRICE","UpdFreq="&amp;$A$6)+G37)/100)</f>
        <v>#NAME?</v>
      </c>
      <c r="F37" s="45" t="e">
        <f t="shared" ca="1" si="1"/>
        <v>#NAME?</v>
      </c>
      <c r="G37" s="73"/>
      <c r="H37" s="46">
        <f t="shared" si="4"/>
        <v>9</v>
      </c>
      <c r="I37" s="46" t="s">
        <v>30</v>
      </c>
      <c r="J37" s="65"/>
      <c r="K37" s="81" t="e">
        <f ca="1">_xll.BAddPeriods($H$4,"Per="&amp;I37,"NumberOfPeriods="&amp;H37,$J$3,$J$4)</f>
        <v>#NAME?</v>
      </c>
      <c r="L37" s="92"/>
    </row>
    <row r="38" spans="1:12">
      <c r="A38" s="287"/>
      <c r="B38" s="43" t="s">
        <v>15</v>
      </c>
      <c r="C38" s="44" t="e">
        <f ca="1">$J$5 &amp; "SW" &amp; LEFT(B38,2)&amp;"V3" &amp;" " &amp; $D$5&amp; " Index"</f>
        <v>#NAME?</v>
      </c>
      <c r="D38" s="45" t="e">
        <f ca="1">IF(ISNUMBER(_xll.BDP(C38,$D$11,"UpdFreq="&amp;$A$6)),(_xll.BDP(C38,$D$11,"UpdFreq="&amp;$A$6)+G38)/100,(_xll.BDP(C38,"LAST PRICE","UpdFreq="&amp;$A$6)+G38)/100)</f>
        <v>#NAME?</v>
      </c>
      <c r="E38" s="45" t="e">
        <f ca="1">IF(ISNUMBER(_xll.BDP(C38,$E$11,"UpdFreq="&amp;$A$6)),(_xll.BDP(C38,$E$11,"UpdFreq="&amp;$A$6)+G38)/100,(_xll.BDP(C38,"LAST PRICE","UpdFreq="&amp;$A$6)+G38)/100)</f>
        <v>#NAME?</v>
      </c>
      <c r="F38" s="45" t="e">
        <f t="shared" ca="1" si="1"/>
        <v>#NAME?</v>
      </c>
      <c r="G38" s="73"/>
      <c r="H38" s="46">
        <f t="shared" si="4"/>
        <v>10</v>
      </c>
      <c r="I38" s="46" t="s">
        <v>30</v>
      </c>
      <c r="J38" s="65"/>
      <c r="K38" s="81" t="e">
        <f ca="1">_xll.BAddPeriods($H$4,"Per="&amp;I38,"NumberOfPeriods="&amp;H38,$J$3,$J$4)</f>
        <v>#NAME?</v>
      </c>
      <c r="L38" s="92"/>
    </row>
    <row r="39" spans="1:12">
      <c r="A39" s="287"/>
      <c r="B39" s="43" t="s">
        <v>16</v>
      </c>
      <c r="C39" s="44" t="e">
        <f t="shared" ref="C39:C46" ca="1" si="5">$J$5 &amp; "SW" &amp; LEFT(B39,2)&amp;"V3" &amp;" " &amp; $D$5&amp; " Index"</f>
        <v>#NAME?</v>
      </c>
      <c r="D39" s="45" t="e">
        <f ca="1">IF(ISNUMBER(_xll.BDP(C39,$D$11,"UpdFreq="&amp;$A$6)),(_xll.BDP(C39,$D$11,"UpdFreq="&amp;$A$6)+G39)/100,(_xll.BDP(C39,"LAST PRICE","UpdFreq="&amp;$A$6)+G39)/100)</f>
        <v>#NAME?</v>
      </c>
      <c r="E39" s="45" t="e">
        <f ca="1">IF(ISNUMBER(_xll.BDP(C39,$E$11,"UpdFreq="&amp;$A$6)),(_xll.BDP(C39,$E$11,"UpdFreq="&amp;$A$6)+G39)/100,(_xll.BDP(C39,"LAST PRICE","UpdFreq="&amp;$A$6)+G39)/100)</f>
        <v>#NAME?</v>
      </c>
      <c r="F39" s="45" t="e">
        <f t="shared" ca="1" si="1"/>
        <v>#NAME?</v>
      </c>
      <c r="G39" s="73"/>
      <c r="H39" s="46">
        <f t="shared" si="4"/>
        <v>12</v>
      </c>
      <c r="I39" s="46" t="s">
        <v>30</v>
      </c>
      <c r="J39" s="65"/>
      <c r="K39" s="81" t="e">
        <f ca="1">_xll.BAddPeriods($H$4,"Per="&amp;I39,"NumberOfPeriods="&amp;H39,$J$3,$J$4)</f>
        <v>#NAME?</v>
      </c>
      <c r="L39" s="92"/>
    </row>
    <row r="40" spans="1:12">
      <c r="A40" s="287"/>
      <c r="B40" s="43" t="s">
        <v>17</v>
      </c>
      <c r="C40" s="44" t="e">
        <f t="shared" ca="1" si="5"/>
        <v>#NAME?</v>
      </c>
      <c r="D40" s="45" t="e">
        <f ca="1">IF(ISNUMBER(_xll.BDP(C40,$D$11,"UpdFreq="&amp;$A$6)),(_xll.BDP(C40,$D$11,"UpdFreq="&amp;$A$6)+G40)/100,(_xll.BDP(C40,"LAST PRICE","UpdFreq="&amp;$A$6)+G40)/100)</f>
        <v>#NAME?</v>
      </c>
      <c r="E40" s="45" t="e">
        <f ca="1">IF(ISNUMBER(_xll.BDP(C40,$E$11,"UpdFreq="&amp;$A$6)),(_xll.BDP(C40,$E$11,"UpdFreq="&amp;$A$6)+G40)/100,(_xll.BDP(C40,"LAST PRICE","UpdFreq="&amp;$A$6)+G40)/100)</f>
        <v>#NAME?</v>
      </c>
      <c r="F40" s="45" t="e">
        <f t="shared" ca="1" si="1"/>
        <v>#NAME?</v>
      </c>
      <c r="G40" s="73"/>
      <c r="H40" s="46">
        <f t="shared" si="4"/>
        <v>15</v>
      </c>
      <c r="I40" s="46" t="s">
        <v>30</v>
      </c>
      <c r="J40" s="65"/>
      <c r="K40" s="81" t="e">
        <f ca="1">_xll.BAddPeriods($H$4,"Per="&amp;I40,"NumberOfPeriods="&amp;H40,$J$3,$J$4)</f>
        <v>#NAME?</v>
      </c>
      <c r="L40" s="92"/>
    </row>
    <row r="41" spans="1:12">
      <c r="A41" s="287"/>
      <c r="B41" s="43" t="s">
        <v>18</v>
      </c>
      <c r="C41" s="44" t="e">
        <f t="shared" ca="1" si="5"/>
        <v>#NAME?</v>
      </c>
      <c r="D41" s="45" t="e">
        <f ca="1">IF(ISNUMBER(_xll.BDP(C41,$D$11,"UpdFreq="&amp;$A$6)),(_xll.BDP(C41,$D$11,"UpdFreq="&amp;$A$6)+G41)/100,(_xll.BDP(C41,"LAST PRICE","UpdFreq="&amp;$A$6)+G41)/100)</f>
        <v>#NAME?</v>
      </c>
      <c r="E41" s="45" t="e">
        <f ca="1">IF(ISNUMBER(_xll.BDP(C41,$E$11,"UpdFreq="&amp;$A$6)),(_xll.BDP(C41,$E$11,"UpdFreq="&amp;$A$6)+G41)/100,(_xll.BDP(C41,"LAST PRICE","UpdFreq="&amp;$A$6)+G41)/100)</f>
        <v>#NAME?</v>
      </c>
      <c r="F41" s="45" t="e">
        <f t="shared" ca="1" si="1"/>
        <v>#NAME?</v>
      </c>
      <c r="G41" s="73"/>
      <c r="H41" s="46">
        <f t="shared" si="4"/>
        <v>20</v>
      </c>
      <c r="I41" s="46" t="s">
        <v>30</v>
      </c>
      <c r="J41" s="65"/>
      <c r="K41" s="81" t="e">
        <f ca="1">_xll.BAddPeriods($H$4,"Per="&amp;I41,"NumberOfPeriods="&amp;H41,$J$3,$J$4)</f>
        <v>#NAME?</v>
      </c>
      <c r="L41" s="92"/>
    </row>
    <row r="42" spans="1:12">
      <c r="A42" s="287"/>
      <c r="B42" s="43" t="s">
        <v>19</v>
      </c>
      <c r="C42" s="44" t="e">
        <f t="shared" ca="1" si="5"/>
        <v>#NAME?</v>
      </c>
      <c r="D42" s="45" t="e">
        <f ca="1">IF(ISNUMBER(_xll.BDP(C42,$D$11,"UpdFreq="&amp;$A$6)),(_xll.BDP(C42,$D$11,"UpdFreq="&amp;$A$6)+G42)/100,(_xll.BDP(C42,"LAST PRICE","UpdFreq="&amp;$A$6)+G42)/100)</f>
        <v>#NAME?</v>
      </c>
      <c r="E42" s="45" t="e">
        <f ca="1">IF(ISNUMBER(_xll.BDP(C42,$E$11,"UpdFreq="&amp;$A$6)),(_xll.BDP(C42,$E$11,"UpdFreq="&amp;$A$6)+G42)/100,(_xll.BDP(C42,"LAST PRICE","UpdFreq="&amp;$A$6)+G42)/100)</f>
        <v>#NAME?</v>
      </c>
      <c r="F42" s="45" t="e">
        <f t="shared" ca="1" si="1"/>
        <v>#NAME?</v>
      </c>
      <c r="G42" s="73"/>
      <c r="H42" s="46">
        <f t="shared" si="4"/>
        <v>25</v>
      </c>
      <c r="I42" s="46" t="s">
        <v>30</v>
      </c>
      <c r="J42" s="65"/>
      <c r="K42" s="81" t="e">
        <f ca="1">_xll.BAddPeriods($H$4,"Per="&amp;I42,"NumberOfPeriods="&amp;H42,$J$3,$J$4)</f>
        <v>#NAME?</v>
      </c>
      <c r="L42" s="92"/>
    </row>
    <row r="43" spans="1:12">
      <c r="A43" s="287"/>
      <c r="B43" s="43" t="s">
        <v>20</v>
      </c>
      <c r="C43" s="44" t="e">
        <f t="shared" ca="1" si="5"/>
        <v>#NAME?</v>
      </c>
      <c r="D43" s="45" t="e">
        <f ca="1">IF(ISNUMBER(_xll.BDP(C43,$D$11,"UpdFreq="&amp;$A$6)),(_xll.BDP(C43,$D$11,"UpdFreq="&amp;$A$6)+G43)/100,(_xll.BDP(C43,"LAST PRICE","UpdFreq="&amp;$A$6)+G43)/100)</f>
        <v>#NAME?</v>
      </c>
      <c r="E43" s="45" t="e">
        <f ca="1">IF(ISNUMBER(_xll.BDP(C43,$E$11,"UpdFreq="&amp;$A$6)),(_xll.BDP(C43,$E$11,"UpdFreq="&amp;$A$6)+G43)/100,(_xll.BDP(C43,"LAST PRICE","UpdFreq="&amp;$A$6)+G43)/100)</f>
        <v>#NAME?</v>
      </c>
      <c r="F43" s="45" t="e">
        <f t="shared" ca="1" si="1"/>
        <v>#NAME?</v>
      </c>
      <c r="G43" s="73"/>
      <c r="H43" s="46">
        <f t="shared" si="4"/>
        <v>30</v>
      </c>
      <c r="I43" s="46" t="s">
        <v>30</v>
      </c>
      <c r="J43" s="65"/>
      <c r="K43" s="81" t="e">
        <f ca="1">_xll.BAddPeriods($H$4,"Per="&amp;I43,"NumberOfPeriods="&amp;H43,$J$3,$J$4)</f>
        <v>#NAME?</v>
      </c>
      <c r="L43" s="92"/>
    </row>
    <row r="44" spans="1:12">
      <c r="A44" s="287"/>
      <c r="B44" s="43" t="s">
        <v>21</v>
      </c>
      <c r="C44" s="44" t="e">
        <f t="shared" ca="1" si="5"/>
        <v>#NAME?</v>
      </c>
      <c r="D44" s="45" t="e">
        <f ca="1">IF(ISNUMBER(_xll.BDP(C44,$D$11,"UpdFreq="&amp;$A$6)),(_xll.BDP(C44,$D$11,"UpdFreq="&amp;$A$6)+G44)/100,(_xll.BDP(C44,"LAST PRICE","UpdFreq="&amp;$A$6)+G44)/100)</f>
        <v>#NAME?</v>
      </c>
      <c r="E44" s="45" t="e">
        <f ca="1">IF(ISNUMBER(_xll.BDP(C44,$E$11,"UpdFreq="&amp;$A$6)),(_xll.BDP(C44,$E$11,"UpdFreq="&amp;$A$6)+G44)/100,(_xll.BDP(C44,"LAST PRICE","UpdFreq="&amp;$A$6)+G44)/100)</f>
        <v>#NAME?</v>
      </c>
      <c r="F44" s="45" t="e">
        <f t="shared" ca="1" si="1"/>
        <v>#NAME?</v>
      </c>
      <c r="G44" s="73"/>
      <c r="H44" s="46">
        <f t="shared" si="4"/>
        <v>35</v>
      </c>
      <c r="I44" s="46" t="s">
        <v>30</v>
      </c>
      <c r="J44" s="65"/>
      <c r="K44" s="81" t="e">
        <f ca="1">_xll.BAddPeriods($H$4,"Per="&amp;I44,"NumberOfPeriods="&amp;H44,$J$3,$J$4)</f>
        <v>#NAME?</v>
      </c>
      <c r="L44" s="92"/>
    </row>
    <row r="45" spans="1:12">
      <c r="A45" s="287"/>
      <c r="B45" s="43" t="s">
        <v>22</v>
      </c>
      <c r="C45" s="44" t="e">
        <f t="shared" ca="1" si="5"/>
        <v>#NAME?</v>
      </c>
      <c r="D45" s="45" t="e">
        <f ca="1">IF(ISNUMBER(_xll.BDP(C45,$D$11,"UpdFreq="&amp;$A$6)),(_xll.BDP(C45,$D$11,"UpdFreq="&amp;$A$6)+G45)/100,(_xll.BDP(C45,"LAST PRICE","UpdFreq="&amp;$A$6)+G45)/100)</f>
        <v>#NAME?</v>
      </c>
      <c r="E45" s="45" t="e">
        <f ca="1">IF(ISNUMBER(_xll.BDP(C45,$E$11,"UpdFreq="&amp;$A$6)),(_xll.BDP(C45,$E$11,"UpdFreq="&amp;$A$6)+G45)/100,(_xll.BDP(C45,"LAST PRICE","UpdFreq="&amp;$A$6)+G45)/100)</f>
        <v>#NAME?</v>
      </c>
      <c r="F45" s="45" t="e">
        <f t="shared" ca="1" si="1"/>
        <v>#NAME?</v>
      </c>
      <c r="G45" s="73"/>
      <c r="H45" s="46">
        <f t="shared" si="4"/>
        <v>40</v>
      </c>
      <c r="I45" s="46" t="s">
        <v>30</v>
      </c>
      <c r="J45" s="65"/>
      <c r="K45" s="81" t="e">
        <f ca="1">_xll.BAddPeriods($H$4,"Per="&amp;I45,"NumberOfPeriods="&amp;H45,$J$3,$J$4)</f>
        <v>#NAME?</v>
      </c>
      <c r="L45" s="92"/>
    </row>
    <row r="46" spans="1:12">
      <c r="A46" s="288"/>
      <c r="B46" s="43" t="s">
        <v>24</v>
      </c>
      <c r="C46" s="44" t="e">
        <f t="shared" ca="1" si="5"/>
        <v>#NAME?</v>
      </c>
      <c r="D46" s="45" t="e">
        <f ca="1">IF(ISNUMBER(_xll.BDP(C46,$D$11,"UpdFreq="&amp;$A$6)),(_xll.BDP(C46,$D$11,"UpdFreq="&amp;$A$6)+G46)/100,(_xll.BDP(C46,"LAST PRICE","UpdFreq="&amp;$A$6)+G46)/100)</f>
        <v>#NAME?</v>
      </c>
      <c r="E46" s="45" t="e">
        <f ca="1">IF(ISNUMBER(_xll.BDP(C46,$E$11,"UpdFreq="&amp;$A$6)),(_xll.BDP(C46,$E$11,"UpdFreq="&amp;$A$6)+G46)/100,(_xll.BDP(C46,"LAST PRICE","UpdFreq="&amp;$A$6)+G46)/100)</f>
        <v>#NAME?</v>
      </c>
      <c r="F46" s="45" t="e">
        <f t="shared" ca="1" si="1"/>
        <v>#NAME?</v>
      </c>
      <c r="G46" s="100"/>
      <c r="H46" s="46">
        <f t="shared" si="4"/>
        <v>50</v>
      </c>
      <c r="I46" s="46" t="s">
        <v>30</v>
      </c>
      <c r="J46" s="65"/>
      <c r="K46" s="81" t="e">
        <f ca="1">_xll.BAddPeriods($H$4,"Per="&amp;I46,"NumberOfPeriods="&amp;H46,$J$3,$J$4)</f>
        <v>#NAME?</v>
      </c>
      <c r="L46" s="92"/>
    </row>
    <row r="47" spans="1:12">
      <c r="B47" s="272" t="s">
        <v>206</v>
      </c>
      <c r="C47" s="273" t="e">
        <f ca="1">$J$5 &amp; "SW" &amp; "1FV3" &amp;" " &amp; $D$5&amp; " Index"</f>
        <v>#NAME?</v>
      </c>
      <c r="D47" s="274" t="e">
        <f ca="1">IF(ISNUMBER(_xll.BDP(C47,$D$11,"UpdFreq="&amp;$A$6)),(_xll.BDP(C47,$D$11,"UpdFreq="&amp;$A$6)+G47)/100,(_xll.BDP(C47,"LAST PRICE","UpdFreq="&amp;$A$6)+G47)/100)</f>
        <v>#NAME?</v>
      </c>
      <c r="E47" s="274" t="e">
        <f ca="1">IF(ISNUMBER(_xll.BDP(C47,$E$11,"UpdFreq="&amp;$A$6)),(_xll.BDP(C47,$E$11,"UpdFreq="&amp;$A$6)+G47)/100,(_xll.BDP(C47,"LAST PRICE","UpdFreq="&amp;$A$6)+G47)/100)</f>
        <v>#NAME?</v>
      </c>
      <c r="F47" s="274" t="e">
        <f ca="1">AVERAGE(D47,E47)</f>
        <v>#NAME?</v>
      </c>
      <c r="G47" s="275"/>
      <c r="H47" s="276">
        <v>1</v>
      </c>
      <c r="I47" s="276" t="s">
        <v>30</v>
      </c>
      <c r="J47" s="277" t="e">
        <f ca="1">$H$4</f>
        <v>#NAME?</v>
      </c>
      <c r="K47" s="278" t="e">
        <f ca="1">_xll.BAddPeriods($H$4,"Per="&amp;I47,"NumberOfPeriods="&amp;H47,$J$3,$J$4)</f>
        <v>#NAME?</v>
      </c>
      <c r="L47"/>
    </row>
    <row r="48" spans="1:12">
      <c r="D48" s="120" t="s">
        <v>107</v>
      </c>
      <c r="J48" s="1"/>
      <c r="L48"/>
    </row>
    <row r="49" spans="1:4">
      <c r="A49" s="117" t="s">
        <v>104</v>
      </c>
      <c r="B49" s="118" t="s">
        <v>122</v>
      </c>
      <c r="C49" s="117" t="s">
        <v>123</v>
      </c>
      <c r="D49" s="279" t="e">
        <f ca="1">_xll.BDP(C49,"LAST_PRICE","UpdFreq="&amp;$A$6)/100</f>
        <v>#NAME?</v>
      </c>
    </row>
    <row r="52" spans="1:4">
      <c r="B52" t="s">
        <v>108</v>
      </c>
    </row>
    <row r="53" spans="1:4">
      <c r="B53" t="s">
        <v>94</v>
      </c>
    </row>
    <row r="54" spans="1:4">
      <c r="B54" t="s">
        <v>95</v>
      </c>
    </row>
    <row r="55" spans="1:4">
      <c r="B55" t="s">
        <v>103</v>
      </c>
    </row>
    <row r="56" spans="1:4">
      <c r="B56" t="s">
        <v>121</v>
      </c>
    </row>
  </sheetData>
  <mergeCells count="7">
    <mergeCell ref="A29:A46"/>
    <mergeCell ref="A21:A28"/>
    <mergeCell ref="B4:C4"/>
    <mergeCell ref="B6:C6"/>
    <mergeCell ref="A12:A17"/>
    <mergeCell ref="A18:A20"/>
    <mergeCell ref="B5:C5"/>
  </mergeCells>
  <phoneticPr fontId="2" type="noConversion"/>
  <dataValidations count="3">
    <dataValidation type="list" allowBlank="1" showInputMessage="1" showErrorMessage="1" sqref="D6">
      <formula1>$AF$3:$AF$6</formula1>
    </dataValidation>
    <dataValidation type="list" allowBlank="1" showInputMessage="1" showErrorMessage="1" sqref="D3">
      <formula1>$R$2:$R$3</formula1>
    </dataValidation>
    <dataValidation type="list" allowBlank="1" showInputMessage="1" showErrorMessage="1" sqref="D4:D5">
      <formula1>Contributori</formula1>
    </dataValidation>
  </dataValidations>
  <pageMargins left="0.75" right="0.75" top="1" bottom="1" header="0.5" footer="0.5"/>
  <pageSetup paperSize="9" orientation="landscape" r:id="rId1"/>
  <headerFooter alignWithMargins="0"/>
  <cellWatches>
    <cellWatch r="D6"/>
    <cellWatch r="D4"/>
  </cellWatches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Foglio7" enableFormatConditionsCalculation="0">
    <tabColor indexed="48"/>
    <pageSetUpPr autoPageBreaks="0"/>
  </sheetPr>
  <dimension ref="A1:AF55"/>
  <sheetViews>
    <sheetView showGridLines="0" zoomScale="80" workbookViewId="0">
      <pane ySplit="8" topLeftCell="A9" activePane="bottomLeft" state="frozenSplit"/>
      <selection activeCell="D7" sqref="D7"/>
      <selection pane="bottomLeft" activeCell="B12" sqref="B12:K55"/>
    </sheetView>
  </sheetViews>
  <sheetFormatPr defaultColWidth="0" defaultRowHeight="12.75"/>
  <cols>
    <col min="1" max="1" width="8" style="121" customWidth="1"/>
    <col min="2" max="2" width="9.7109375" style="121" customWidth="1"/>
    <col min="3" max="3" width="19.7109375" style="121" customWidth="1"/>
    <col min="4" max="6" width="11.7109375" style="121" customWidth="1"/>
    <col min="7" max="7" width="12.7109375" style="121" customWidth="1"/>
    <col min="8" max="9" width="13.28515625" style="123" customWidth="1"/>
    <col min="10" max="11" width="14.7109375" style="121" customWidth="1"/>
    <col min="12" max="12" width="14.7109375" style="124" customWidth="1"/>
    <col min="13" max="13" width="14.28515625" style="121" customWidth="1"/>
    <col min="14" max="14" width="11.28515625" style="121" customWidth="1"/>
    <col min="15" max="15" width="3.42578125" style="121" customWidth="1"/>
    <col min="16" max="16" width="8.5703125" style="121" customWidth="1"/>
    <col min="17" max="17" width="0" style="121" hidden="1"/>
    <col min="18" max="18" width="8" style="121" bestFit="1" customWidth="1"/>
    <col min="19" max="19" width="8.5703125" style="121" customWidth="1"/>
    <col min="20" max="20" width="12.28515625" style="121" customWidth="1"/>
    <col min="21" max="21" width="3" style="121" customWidth="1"/>
    <col min="22" max="22" width="5.5703125" style="121" customWidth="1"/>
    <col min="23" max="23" width="7.7109375" style="121" customWidth="1"/>
    <col min="24" max="24" width="6.5703125" style="121" customWidth="1"/>
    <col min="25" max="25" width="9.5703125" style="121" customWidth="1"/>
    <col min="26" max="26" width="10.28515625" style="121" customWidth="1"/>
    <col min="27" max="27" width="10.7109375" style="121" customWidth="1"/>
    <col min="28" max="28" width="0" style="121" hidden="1"/>
    <col min="29" max="29" width="13.85546875" style="121" customWidth="1"/>
    <col min="30" max="30" width="0" style="121" hidden="1"/>
    <col min="31" max="31" width="4.85546875" style="121" customWidth="1"/>
    <col min="32" max="32" width="7.28515625" style="121" customWidth="1"/>
    <col min="33" max="16384" width="0" style="121" hidden="1"/>
  </cols>
  <sheetData>
    <row r="1" spans="1:32" ht="43.5" customHeight="1">
      <c r="B1" s="122"/>
      <c r="C1" s="122"/>
      <c r="D1" s="122"/>
      <c r="E1" s="122"/>
      <c r="M1" s="125" t="s">
        <v>61</v>
      </c>
      <c r="P1" s="126" t="s">
        <v>36</v>
      </c>
      <c r="R1" s="126"/>
      <c r="S1" s="127" t="s">
        <v>39</v>
      </c>
      <c r="T1" s="127" t="s">
        <v>40</v>
      </c>
      <c r="U1" s="127" t="s">
        <v>42</v>
      </c>
      <c r="V1" s="127" t="s">
        <v>6</v>
      </c>
      <c r="W1" s="127" t="s">
        <v>43</v>
      </c>
      <c r="X1" s="127" t="s">
        <v>5</v>
      </c>
      <c r="Y1" s="127" t="s">
        <v>53</v>
      </c>
      <c r="Z1" s="127" t="s">
        <v>52</v>
      </c>
      <c r="AA1" s="127" t="s">
        <v>54</v>
      </c>
      <c r="AC1" s="126" t="s">
        <v>64</v>
      </c>
      <c r="AE1" s="126" t="s">
        <v>63</v>
      </c>
      <c r="AF1" s="126" t="s">
        <v>73</v>
      </c>
    </row>
    <row r="2" spans="1:32" ht="13.5" customHeight="1">
      <c r="A2" s="122"/>
      <c r="B2" s="128"/>
      <c r="C2" s="128"/>
      <c r="G2" s="129" t="s">
        <v>59</v>
      </c>
      <c r="H2" s="130"/>
      <c r="I2" s="130"/>
      <c r="J2" s="124"/>
      <c r="M2" s="125" t="s">
        <v>62</v>
      </c>
      <c r="N2" s="131" t="s">
        <v>68</v>
      </c>
      <c r="O2" s="126">
        <v>1</v>
      </c>
      <c r="P2" s="126" t="s">
        <v>34</v>
      </c>
      <c r="R2" s="126" t="s">
        <v>77</v>
      </c>
      <c r="S2" s="127" t="s">
        <v>78</v>
      </c>
      <c r="T2" s="127" t="s">
        <v>79</v>
      </c>
      <c r="U2" s="127">
        <v>2</v>
      </c>
      <c r="V2" s="127" t="s">
        <v>34</v>
      </c>
      <c r="W2" s="127" t="s">
        <v>34</v>
      </c>
      <c r="X2" s="127" t="s">
        <v>37</v>
      </c>
      <c r="Y2" s="127" t="s">
        <v>78</v>
      </c>
      <c r="AC2" s="126"/>
      <c r="AE2" s="126"/>
    </row>
    <row r="3" spans="1:32">
      <c r="A3" s="122"/>
      <c r="B3" s="132"/>
      <c r="C3" s="133"/>
      <c r="D3" s="134" t="s">
        <v>77</v>
      </c>
      <c r="G3" s="135" t="s">
        <v>31</v>
      </c>
      <c r="H3" s="136" t="e">
        <f ca="1">[1]!blptoday()</f>
        <v>#NAME?</v>
      </c>
      <c r="I3" s="135" t="s">
        <v>25</v>
      </c>
      <c r="J3" s="137" t="e">
        <f ca="1">"CDR="&amp;J6</f>
        <v>#NAME?</v>
      </c>
      <c r="N3" s="131" t="s">
        <v>69</v>
      </c>
      <c r="O3" s="126">
        <v>2</v>
      </c>
      <c r="P3" s="126" t="s">
        <v>2</v>
      </c>
      <c r="R3" s="126" t="s">
        <v>38</v>
      </c>
      <c r="S3" s="127" t="s">
        <v>4</v>
      </c>
      <c r="T3" s="127" t="s">
        <v>41</v>
      </c>
      <c r="U3" s="127">
        <v>2</v>
      </c>
      <c r="V3" s="127" t="s">
        <v>34</v>
      </c>
      <c r="W3" s="127" t="s">
        <v>34</v>
      </c>
      <c r="X3" s="138" t="s">
        <v>37</v>
      </c>
      <c r="Y3" s="127" t="s">
        <v>4</v>
      </c>
      <c r="AC3" s="126" t="s">
        <v>45</v>
      </c>
      <c r="AE3" s="126" t="s">
        <v>56</v>
      </c>
      <c r="AF3" s="126">
        <v>1</v>
      </c>
    </row>
    <row r="4" spans="1:32">
      <c r="B4" s="282" t="s">
        <v>124</v>
      </c>
      <c r="C4" s="292"/>
      <c r="D4" s="134" t="s">
        <v>102</v>
      </c>
      <c r="G4" s="139" t="str">
        <f>"T+"&amp;INDEX($U$2:$U$3,MATCH($D$3,$R$2:$R$3,FALSE))</f>
        <v>T+2</v>
      </c>
      <c r="H4" s="140" t="e">
        <f ca="1">_xll.BAddPeriods($H$3,"Per=wd","NumberOfPeriods="&amp;RIGHT(G4,1),$J$3)</f>
        <v>#NAME?</v>
      </c>
      <c r="I4" s="139" t="s">
        <v>1</v>
      </c>
      <c r="J4" s="141" t="s">
        <v>33</v>
      </c>
      <c r="N4" s="131" t="s">
        <v>55</v>
      </c>
      <c r="O4" s="126">
        <v>4</v>
      </c>
      <c r="P4" s="142" t="s">
        <v>37</v>
      </c>
      <c r="R4" s="143" t="e">
        <f>RTD("bloomberg.ccyreader", "", "#track", "DBG", "XCLR", "1.1", 1)</f>
        <v>#N/A</v>
      </c>
      <c r="AC4" s="126" t="s">
        <v>65</v>
      </c>
      <c r="AE4" s="126" t="s">
        <v>35</v>
      </c>
      <c r="AF4" s="126">
        <v>5</v>
      </c>
    </row>
    <row r="5" spans="1:32">
      <c r="B5" s="282" t="s">
        <v>169</v>
      </c>
      <c r="C5" s="292"/>
      <c r="D5" s="134" t="s">
        <v>102</v>
      </c>
      <c r="G5" s="139" t="s">
        <v>44</v>
      </c>
      <c r="H5" s="68" t="str">
        <f>D4&amp;"/"&amp;D5</f>
        <v>ICPL/ICPL</v>
      </c>
      <c r="I5" s="139" t="s">
        <v>46</v>
      </c>
      <c r="J5" s="145" t="e">
        <f ca="1">_xll.BDP(D3&amp;" Curncy","BB_CRNCY_CODE")</f>
        <v>#NAME?</v>
      </c>
      <c r="N5" s="131" t="s">
        <v>70</v>
      </c>
      <c r="O5" s="126">
        <v>12</v>
      </c>
      <c r="AC5" s="126" t="s">
        <v>66</v>
      </c>
      <c r="AE5" s="126" t="s">
        <v>57</v>
      </c>
      <c r="AF5" s="126">
        <v>10</v>
      </c>
    </row>
    <row r="6" spans="1:32">
      <c r="A6" s="144">
        <f>D6*1000</f>
        <v>5000</v>
      </c>
      <c r="B6" s="299" t="s">
        <v>71</v>
      </c>
      <c r="C6" s="300"/>
      <c r="D6" s="134">
        <v>5</v>
      </c>
      <c r="E6" s="121" t="s">
        <v>72</v>
      </c>
      <c r="G6" s="146" t="s">
        <v>43</v>
      </c>
      <c r="H6" s="147" t="str">
        <f>INDEX($T$2:$T$3,MATCH($D$3,$R$2:$R$3,FALSE))</f>
        <v>ER</v>
      </c>
      <c r="I6" s="146" t="s">
        <v>76</v>
      </c>
      <c r="J6" s="147" t="e">
        <f ca="1">_xll.BDP(D3&amp;" Curncy","CALENDAR_CODE")</f>
        <v>#NAME?</v>
      </c>
      <c r="AC6" s="126" t="s">
        <v>102</v>
      </c>
      <c r="AF6" s="126">
        <v>60</v>
      </c>
    </row>
    <row r="7" spans="1:32" ht="13.5" customHeight="1">
      <c r="A7" s="124"/>
      <c r="B7" s="124"/>
      <c r="C7" s="124"/>
      <c r="D7" s="124"/>
      <c r="E7" s="124"/>
      <c r="F7" s="122"/>
      <c r="AC7" s="126" t="s">
        <v>67</v>
      </c>
    </row>
    <row r="8" spans="1:32" ht="13.5" customHeight="1">
      <c r="A8" s="148"/>
      <c r="B8" s="149"/>
      <c r="C8" s="150"/>
      <c r="D8" s="150"/>
      <c r="E8" s="150"/>
      <c r="F8" s="122"/>
      <c r="AC8" s="126" t="s">
        <v>163</v>
      </c>
    </row>
    <row r="9" spans="1:32" ht="13.5" customHeight="1">
      <c r="AC9" s="126"/>
    </row>
    <row r="10" spans="1:32" ht="13.5" customHeight="1">
      <c r="A10" s="151" t="s">
        <v>75</v>
      </c>
      <c r="B10" s="151"/>
      <c r="C10" s="152"/>
      <c r="D10" s="152"/>
      <c r="E10" s="152"/>
      <c r="F10" s="152"/>
      <c r="G10" s="152"/>
      <c r="H10" s="153"/>
      <c r="I10" s="153"/>
      <c r="J10" s="152"/>
      <c r="K10" s="152"/>
      <c r="L10" s="154"/>
    </row>
    <row r="11" spans="1:32">
      <c r="A11" s="155"/>
      <c r="B11" s="156"/>
      <c r="C11" s="156"/>
      <c r="D11" s="156" t="s">
        <v>57</v>
      </c>
      <c r="E11" s="156" t="s">
        <v>56</v>
      </c>
      <c r="F11" s="156" t="s">
        <v>35</v>
      </c>
      <c r="G11" s="157" t="s">
        <v>58</v>
      </c>
      <c r="H11" s="156" t="s">
        <v>60</v>
      </c>
      <c r="I11" s="156" t="s">
        <v>26</v>
      </c>
      <c r="J11" s="156" t="s">
        <v>32</v>
      </c>
      <c r="K11" s="157" t="s">
        <v>74</v>
      </c>
      <c r="L11" s="158"/>
    </row>
    <row r="12" spans="1:32">
      <c r="A12" s="304" t="s">
        <v>6</v>
      </c>
      <c r="B12" s="159" t="s">
        <v>51</v>
      </c>
      <c r="C12" s="160" t="e">
        <f ca="1">$J$5&amp;"DR1T " &amp;  $D$4 &amp;" Index"</f>
        <v>#NAME?</v>
      </c>
      <c r="D12" s="161" t="e">
        <f ca="1">IF(ISNUMBER(_xll.BDP(C12,$D$11,"UpdFreq="&amp;$A$6)),(_xll.BDP(C12,$D$11,"UpdFreq="&amp;$A$6)+G12)/100,(_xll.BDP(C12,"LAST PRICE","UpdFreq="&amp;$A$6)+G12)/100)</f>
        <v>#NAME?</v>
      </c>
      <c r="E12" s="161" t="e">
        <f ca="1">IF(ISNUMBER(_xll.BDP(C12,$E$11,"UpdFreq="&amp;$A$6)),(_xll.BDP(C12,$E$11,"UpdFreq="&amp;$A$6)+G12)/100,(_xll.BDP(C12,"LAST PRICE","UpdFreq="&amp;$A$6)+G12)/100)</f>
        <v>#NAME?</v>
      </c>
      <c r="F12" s="161" t="e">
        <f t="shared" ref="F12:F20" ca="1" si="0">AVERAGE(D12,E12)</f>
        <v>#NAME?</v>
      </c>
      <c r="G12" s="162"/>
      <c r="H12" s="163">
        <f t="shared" ref="H12:H17" si="1">VALUE(LEFT(B12,1))</f>
        <v>1</v>
      </c>
      <c r="I12" s="163" t="s">
        <v>27</v>
      </c>
      <c r="J12" s="164" t="e">
        <f ca="1">$H$3</f>
        <v>#NAME?</v>
      </c>
      <c r="K12" s="165" t="e">
        <f ca="1">_xll.BAddPeriods($J12,"Per="&amp;I12,"NumberOfPeriods="&amp;H12,$J$3,$J$4)</f>
        <v>#NAME?</v>
      </c>
      <c r="L12" s="166"/>
    </row>
    <row r="13" spans="1:32">
      <c r="A13" s="305"/>
      <c r="B13" s="167" t="s">
        <v>97</v>
      </c>
      <c r="C13" s="168" t="e">
        <f ca="1">$J$5&amp;"DR3T " &amp;  $D$4 &amp;" Index"</f>
        <v>#NAME?</v>
      </c>
      <c r="D13" s="169" t="e">
        <f ca="1">IF(ISNUMBER(_xll.BDP(C13,$D$11,"UpdFreq="&amp;$A$6)),(_xll.BDP(C13,$D$11,"UpdFreq="&amp;$A$6)+G13)/100,(_xll.BDP(C13,"LAST PRICE","UpdFreq="&amp;$A$6)+G13)/100)</f>
        <v>#NAME?</v>
      </c>
      <c r="E13" s="169" t="e">
        <f ca="1">IF(ISNUMBER(_xll.BDP(C13,$E$11,"UpdFreq="&amp;$A$6)),(_xll.BDP(C13,$E$11,"UpdFreq="&amp;$A$6)+G13)/100,(_xll.BDP(C13,"LAST PRICE","UpdFreq="&amp;$A$6)+G13)/100)</f>
        <v>#NAME?</v>
      </c>
      <c r="F13" s="169" t="e">
        <f t="shared" ca="1" si="0"/>
        <v>#NAME?</v>
      </c>
      <c r="G13" s="170"/>
      <c r="H13" s="171">
        <f t="shared" si="1"/>
        <v>1</v>
      </c>
      <c r="I13" s="171" t="s">
        <v>27</v>
      </c>
      <c r="J13" s="172" t="e">
        <f t="shared" ref="J13:J20" ca="1" si="2">$H$4</f>
        <v>#NAME?</v>
      </c>
      <c r="K13" s="173" t="e">
        <f ca="1">_xll.BAddPeriods($J13,"Per="&amp;I13,"NumberOfPeriods="&amp;H13,$J$3,$J$4)</f>
        <v>#NAME?</v>
      </c>
      <c r="L13" s="166"/>
    </row>
    <row r="14" spans="1:32" ht="12.75" customHeight="1">
      <c r="A14" s="305"/>
      <c r="B14" s="167" t="s">
        <v>47</v>
      </c>
      <c r="C14" s="168" t="s">
        <v>168</v>
      </c>
      <c r="D14" s="169" t="e">
        <f ca="1">IF(ISNUMBER(_xll.BDP(C14,$D$11,"UpdFreq="&amp;$A$6)),(_xll.BDP(C14,$D$11,"UpdFreq="&amp;$A$6)+G14)/100,(_xll.BDP(C14,"LAST PRICE","UpdFreq="&amp;$A$6)+G14)/100)</f>
        <v>#NAME?</v>
      </c>
      <c r="E14" s="169" t="e">
        <f ca="1">IF(ISNUMBER(_xll.BDP(C14,$E$11,"UpdFreq="&amp;$A$6)),(_xll.BDP(C14,$E$11,"UpdFreq="&amp;$A$6)+G14)/100,(_xll.BDP(C14,"LAST PRICE","UpdFreq="&amp;$A$6)+G14)/100)</f>
        <v>#NAME?</v>
      </c>
      <c r="F14" s="169" t="e">
        <f t="shared" ca="1" si="0"/>
        <v>#NAME?</v>
      </c>
      <c r="G14" s="174"/>
      <c r="H14" s="171">
        <f t="shared" si="1"/>
        <v>1</v>
      </c>
      <c r="I14" s="171" t="s">
        <v>28</v>
      </c>
      <c r="J14" s="172" t="e">
        <f t="shared" ca="1" si="2"/>
        <v>#NAME?</v>
      </c>
      <c r="K14" s="173" t="e">
        <f ca="1">_xll.BAddPeriods($J14,"Per="&amp;I14,"NumberOfPeriods="&amp;H14,$J$3,$J$4)</f>
        <v>#NAME?</v>
      </c>
      <c r="L14" s="166"/>
    </row>
    <row r="15" spans="1:32">
      <c r="A15" s="305"/>
      <c r="B15" s="167" t="s">
        <v>48</v>
      </c>
      <c r="C15" s="168" t="s">
        <v>164</v>
      </c>
      <c r="D15" s="169" t="e">
        <f ca="1">IF(ISNUMBER(_xll.BDP(C15,$D$11,"UpdFreq="&amp;$A$6)),(_xll.BDP(C15,$D$11,"UpdFreq="&amp;$A$6)+G15)/100,(_xll.BDP(C15,"LAST PRICE","UpdFreq="&amp;$A$6)+G15)/100)</f>
        <v>#NAME?</v>
      </c>
      <c r="E15" s="169" t="e">
        <f ca="1">IF(ISNUMBER(_xll.BDP(C15,$E$11,"UpdFreq="&amp;$A$6)),(_xll.BDP(C15,$E$11,"UpdFreq="&amp;$A$6)+G15)/100,(_xll.BDP(C15,"LAST PRICE","UpdFreq="&amp;$A$6)+G15)/100)</f>
        <v>#NAME?</v>
      </c>
      <c r="F15" s="169" t="e">
        <f t="shared" ca="1" si="0"/>
        <v>#NAME?</v>
      </c>
      <c r="G15" s="174"/>
      <c r="H15" s="171">
        <f t="shared" si="1"/>
        <v>1</v>
      </c>
      <c r="I15" s="171" t="s">
        <v>29</v>
      </c>
      <c r="J15" s="172" t="e">
        <f t="shared" ca="1" si="2"/>
        <v>#NAME?</v>
      </c>
      <c r="K15" s="173" t="e">
        <f ca="1">_xll.BAddPeriods($J15,"Per="&amp;I15,"NumberOfPeriods="&amp;H15,$J$3,$J$4)</f>
        <v>#NAME?</v>
      </c>
      <c r="L15" s="166"/>
    </row>
    <row r="16" spans="1:32">
      <c r="A16" s="305"/>
      <c r="B16" s="167" t="s">
        <v>49</v>
      </c>
      <c r="C16" s="168" t="s">
        <v>165</v>
      </c>
      <c r="D16" s="169" t="e">
        <f ca="1">IF(ISNUMBER(_xll.BDP(C16,$D$11,"UpdFreq="&amp;$A$6)),(_xll.BDP(C16,$D$11,"UpdFreq="&amp;$A$6)+G16)/100,(_xll.BDP(C16,"LAST PRICE","UpdFreq="&amp;$A$6)+G16)/100)</f>
        <v>#NAME?</v>
      </c>
      <c r="E16" s="169" t="e">
        <f ca="1">IF(ISNUMBER(_xll.BDP(C16,$E$11,"UpdFreq="&amp;$A$6)),(_xll.BDP(C16,$E$11,"UpdFreq="&amp;$A$6)+G16)/100,(_xll.BDP(C16,"LAST PRICE","UpdFreq="&amp;$A$6)+G16)/100)</f>
        <v>#NAME?</v>
      </c>
      <c r="F16" s="169" t="e">
        <f t="shared" ca="1" si="0"/>
        <v>#NAME?</v>
      </c>
      <c r="G16" s="174"/>
      <c r="H16" s="171">
        <f t="shared" si="1"/>
        <v>2</v>
      </c>
      <c r="I16" s="171" t="s">
        <v>29</v>
      </c>
      <c r="J16" s="172" t="e">
        <f t="shared" ca="1" si="2"/>
        <v>#NAME?</v>
      </c>
      <c r="K16" s="173" t="e">
        <f ca="1">_xll.BAddPeriods($J16,"Per="&amp;I16,"NumberOfPeriods="&amp;H16,$J$3,$J$4)</f>
        <v>#NAME?</v>
      </c>
      <c r="L16" s="166"/>
    </row>
    <row r="17" spans="1:12">
      <c r="A17" s="305"/>
      <c r="B17" s="167" t="s">
        <v>50</v>
      </c>
      <c r="C17" s="168" t="s">
        <v>123</v>
      </c>
      <c r="D17" s="169" t="e">
        <f ca="1">IF(ISNUMBER(_xll.BDP(C17,$D$11,"UpdFreq="&amp;$A$6)),(_xll.BDP(C17,$D$11,"UpdFreq="&amp;$A$6)+G17)/100,(_xll.BDP(C17,"LAST PRICE","UpdFreq="&amp;$A$6)+G17)/100)</f>
        <v>#NAME?</v>
      </c>
      <c r="E17" s="169" t="e">
        <f ca="1">IF(ISNUMBER(_xll.BDP(C17,$E$11,"UpdFreq="&amp;$A$6)),(_xll.BDP(C17,$E$11,"UpdFreq="&amp;$A$6)+G17)/100,(_xll.BDP(C17,"LAST PRICE","UpdFreq="&amp;$A$6)+G17)/100)</f>
        <v>#NAME?</v>
      </c>
      <c r="F17" s="169" t="e">
        <f t="shared" ca="1" si="0"/>
        <v>#NAME?</v>
      </c>
      <c r="G17" s="174"/>
      <c r="H17" s="171">
        <f t="shared" si="1"/>
        <v>3</v>
      </c>
      <c r="I17" s="171" t="s">
        <v>29</v>
      </c>
      <c r="J17" s="172" t="e">
        <f t="shared" ca="1" si="2"/>
        <v>#NAME?</v>
      </c>
      <c r="K17" s="173" t="e">
        <f ca="1">_xll.BAddPeriods($J17,"Per="&amp;I17,"NumberOfPeriods="&amp;H17,$J$3,$J$4)</f>
        <v>#NAME?</v>
      </c>
      <c r="L17" s="166"/>
    </row>
    <row r="18" spans="1:12">
      <c r="A18" s="306"/>
      <c r="B18" s="167" t="s">
        <v>82</v>
      </c>
      <c r="C18" s="168" t="s">
        <v>166</v>
      </c>
      <c r="D18" s="169" t="e">
        <f ca="1">IF(ISNUMBER(_xll.BDP(C18,$D$11,"UpdFreq="&amp;$A$6)),(_xll.BDP(C18,$D$11,"UpdFreq="&amp;$A$6)+G18)/100,(_xll.BDP(C18,"LAST PRICE","UpdFreq="&amp;$A$6)+G18)/100)</f>
        <v>#NAME?</v>
      </c>
      <c r="E18" s="169" t="e">
        <f ca="1">IF(ISNUMBER(_xll.BDP(C18,$E$11,"UpdFreq="&amp;$A$6)),(_xll.BDP(C18,$E$11,"UpdFreq="&amp;$A$6)+G18)/100,(_xll.BDP(C18,"LAST PRICE","UpdFreq="&amp;$A$6)+G18)/100)</f>
        <v>#NAME?</v>
      </c>
      <c r="F18" s="169" t="e">
        <f t="shared" ca="1" si="0"/>
        <v>#NAME?</v>
      </c>
      <c r="G18" s="175"/>
      <c r="H18" s="171">
        <v>4</v>
      </c>
      <c r="I18" s="171" t="s">
        <v>29</v>
      </c>
      <c r="J18" s="172" t="e">
        <f t="shared" ca="1" si="2"/>
        <v>#NAME?</v>
      </c>
      <c r="K18" s="173" t="e">
        <f ca="1">_xll.BAddPeriods($J18,"Per="&amp;I18,"NumberOfPeriods="&amp;H18,$J$3,$J$4)</f>
        <v>#NAME?</v>
      </c>
      <c r="L18" s="176"/>
    </row>
    <row r="19" spans="1:12">
      <c r="A19" s="306"/>
      <c r="B19" s="167" t="s">
        <v>83</v>
      </c>
      <c r="C19" s="168" t="s">
        <v>167</v>
      </c>
      <c r="D19" s="169" t="e">
        <f ca="1">IF(ISNUMBER(_xll.BDP(C19,$D$11,"UpdFreq="&amp;$A$6)),(_xll.BDP(C19,$D$11,"UpdFreq="&amp;$A$6)+G19)/100,(_xll.BDP(C19,"LAST PRICE","UpdFreq="&amp;$A$6)+G19)/100)</f>
        <v>#NAME?</v>
      </c>
      <c r="E19" s="169" t="e">
        <f ca="1">IF(ISNUMBER(_xll.BDP(C19,$E$11,"UpdFreq="&amp;$A$6)),(_xll.BDP(C19,$E$11,"UpdFreq="&amp;$A$6)+G19)/100,(_xll.BDP(C19,"LAST PRICE","UpdFreq="&amp;$A$6)+G19)/100)</f>
        <v>#NAME?</v>
      </c>
      <c r="F19" s="169" t="e">
        <f t="shared" ca="1" si="0"/>
        <v>#NAME?</v>
      </c>
      <c r="G19" s="175"/>
      <c r="H19" s="171">
        <v>5</v>
      </c>
      <c r="I19" s="171" t="s">
        <v>29</v>
      </c>
      <c r="J19" s="172" t="e">
        <f t="shared" ca="1" si="2"/>
        <v>#NAME?</v>
      </c>
      <c r="K19" s="173" t="e">
        <f ca="1">_xll.BAddPeriods($J19,"Per="&amp;I19,"NumberOfPeriods="&amp;H19,$J$3,$J$4)</f>
        <v>#NAME?</v>
      </c>
      <c r="L19" s="176"/>
    </row>
    <row r="20" spans="1:12">
      <c r="A20" s="306"/>
      <c r="B20" s="177" t="s">
        <v>84</v>
      </c>
      <c r="C20" s="178" t="s">
        <v>106</v>
      </c>
      <c r="D20" s="179" t="e">
        <f ca="1">IF(ISNUMBER(_xll.BDP(C20,$D$11,"UpdFreq="&amp;$A$6)),(_xll.BDP(C20,$D$11,"UpdFreq="&amp;$A$6)+G20)/100,(_xll.BDP(C20,"LAST PRICE","UpdFreq="&amp;$A$6)+G20)/100)</f>
        <v>#NAME?</v>
      </c>
      <c r="E20" s="179" t="e">
        <f ca="1">IF(ISNUMBER(_xll.BDP(C20,$E$11,"UpdFreq="&amp;$A$6)),(_xll.BDP(C20,$E$11,"UpdFreq="&amp;$A$6)+G20)/100,(_xll.BDP(C20,"LAST PRICE","UpdFreq="&amp;$A$6)+G20)/100)</f>
        <v>#NAME?</v>
      </c>
      <c r="F20" s="179" t="e">
        <f t="shared" ca="1" si="0"/>
        <v>#NAME?</v>
      </c>
      <c r="G20" s="175"/>
      <c r="H20" s="180">
        <v>6</v>
      </c>
      <c r="I20" s="180" t="s">
        <v>29</v>
      </c>
      <c r="J20" s="181" t="e">
        <f t="shared" ca="1" si="2"/>
        <v>#NAME?</v>
      </c>
      <c r="K20" s="182" t="e">
        <f ca="1">_xll.BAddPeriods($J20,"Per="&amp;I20,"NumberOfPeriods="&amp;H20,$J$3,$J$4)</f>
        <v>#NAME?</v>
      </c>
      <c r="L20" s="176"/>
    </row>
    <row r="21" spans="1:12">
      <c r="A21" s="301" t="s">
        <v>99</v>
      </c>
      <c r="B21" s="183" t="s">
        <v>109</v>
      </c>
      <c r="C21" s="183" t="e">
        <f ca="1">$J$5&amp;"FR0AG "&amp;  $D$4 &amp;" Index"</f>
        <v>#NAME?</v>
      </c>
      <c r="D21" s="184" t="e">
        <f ca="1">IF(ISNUMBER(_xll.BDP($C21,D$11,"UpdFreq="&amp;$A$6)),(_xll.BDP($C21,D$11,"UpdFreq="&amp;$A$6)+$G21)/100,(_xll.BDP($C21,"LAST PRICE","UpdFreq="&amp;$A$6)+$G21)/100)</f>
        <v>#NAME?</v>
      </c>
      <c r="E21" s="184" t="e">
        <f ca="1">IF(ISNUMBER(_xll.BDP($C21,E$11,"UpdFreq="&amp;$A$6)),(_xll.BDP($C21,E$11,"UpdFreq="&amp;$A$6)+$G21)/100,(_xll.BDP($C21,"LAST PRICE","UpdFreq="&amp;$A$6)+$G21)/100)</f>
        <v>#NAME?</v>
      </c>
      <c r="F21" s="184" t="e">
        <f ca="1">IF(ISNUMBER(_xll.BDP($C21,F$11,"UpdFreq="&amp;$A$6)),(_xll.BDP($C21,F$11,"UpdFreq="&amp;$A$6)+$G21)/100,(_xll.BDP($C21,"LAST PRICE","UpdFreq="&amp;$A$6)+$G21)/100)</f>
        <v>#NAME?</v>
      </c>
      <c r="G21" s="175"/>
      <c r="H21" s="185">
        <f>VALUE(LEFT(B21,1))</f>
        <v>1</v>
      </c>
      <c r="I21" s="185" t="s">
        <v>29</v>
      </c>
      <c r="J21" s="186" t="e">
        <f ca="1">_xll.BAddPeriods($H$4,"Per="&amp;I21,"NumberOfPeriods="&amp;H21,$J$3,$J$4)</f>
        <v>#NAME?</v>
      </c>
      <c r="K21" s="187" t="e">
        <f ca="1">_xll.BAddPeriods($J21,"Per="&amp;I21,"NumberOfPeriods="&amp;6,$J$3,$J$4)</f>
        <v>#NAME?</v>
      </c>
      <c r="L21" s="176"/>
    </row>
    <row r="22" spans="1:12">
      <c r="A22" s="301"/>
      <c r="B22" s="188" t="s">
        <v>110</v>
      </c>
      <c r="C22" s="188" t="e">
        <f ca="1">$J$5&amp;"FR0BH "&amp;  $D$4 &amp;" Index"</f>
        <v>#NAME?</v>
      </c>
      <c r="D22" s="189" t="e">
        <f ca="1">IF(ISNUMBER(_xll.BDP($C22,D$11,"UpdFreq="&amp;$A$6)),(_xll.BDP($C22,D$11,"UpdFreq="&amp;$A$6)+$G22)/100,(_xll.BDP($C22,"LAST PRICE","UpdFreq="&amp;$A$6)+$G22)/100)</f>
        <v>#NAME?</v>
      </c>
      <c r="E22" s="189" t="e">
        <f ca="1">IF(ISNUMBER(_xll.BDP($C22,E$11,"UpdFreq="&amp;$A$6)),(_xll.BDP($C22,E$11,"UpdFreq="&amp;$A$6)+$G22)/100,(_xll.BDP($C22,"LAST PRICE","UpdFreq="&amp;$A$6)+$G22)/100)</f>
        <v>#NAME?</v>
      </c>
      <c r="F22" s="189" t="e">
        <f ca="1">IF(ISNUMBER(_xll.BDP($C22,F$11,"UpdFreq="&amp;$A$6)),(_xll.BDP($C22,F$11,"UpdFreq="&amp;$A$6)+$G22)/100,(_xll.BDP($C22,"LAST PRICE","UpdFreq="&amp;$A$6)+$G22)/100)</f>
        <v>#NAME?</v>
      </c>
      <c r="G22" s="175"/>
      <c r="H22" s="190">
        <f>VALUE(LEFT(B22,1))</f>
        <v>2</v>
      </c>
      <c r="I22" s="190" t="s">
        <v>29</v>
      </c>
      <c r="J22" s="191" t="e">
        <f ca="1">_xll.BAddPeriods($H$4,"Per="&amp;I22,"NumberOfPeriods="&amp;H22,$J$3,$J$4)</f>
        <v>#NAME?</v>
      </c>
      <c r="K22" s="192" t="e">
        <f ca="1">_xll.BAddPeriods($J22,"Per="&amp;I22,"NumberOfPeriods="&amp;6,$J$3,$J$4)</f>
        <v>#NAME?</v>
      </c>
      <c r="L22" s="176"/>
    </row>
    <row r="23" spans="1:12">
      <c r="A23" s="301"/>
      <c r="B23" s="188" t="s">
        <v>111</v>
      </c>
      <c r="C23" s="188" t="e">
        <f ca="1">$J$5&amp;"FR0CI "&amp;  $D$4 &amp;" Index"</f>
        <v>#NAME?</v>
      </c>
      <c r="D23" s="189" t="e">
        <f ca="1">IF(ISNUMBER(_xll.BDP($C23,D$11,"UpdFreq="&amp;$A$6)),(_xll.BDP($C23,D$11,"UpdFreq="&amp;$A$6)+$G23)/100,(_xll.BDP($C23,"LAST PRICE","UpdFreq="&amp;$A$6)+$G23)/100)</f>
        <v>#NAME?</v>
      </c>
      <c r="E23" s="189" t="e">
        <f ca="1">IF(ISNUMBER(_xll.BDP($C23,E$11,"UpdFreq="&amp;$A$6)),(_xll.BDP($C23,E$11,"UpdFreq="&amp;$A$6)+$G23)/100,(_xll.BDP($C23,"LAST PRICE","UpdFreq="&amp;$A$6)+$G23)/100)</f>
        <v>#NAME?</v>
      </c>
      <c r="F23" s="189" t="e">
        <f ca="1">IF(ISNUMBER(_xll.BDP($C23,F$11,"UpdFreq="&amp;$A$6)),(_xll.BDP($C23,F$11,"UpdFreq="&amp;$A$6)+$G23)/100,(_xll.BDP($C23,"LAST PRICE","UpdFreq="&amp;$A$6)+$G23)/100)</f>
        <v>#NAME?</v>
      </c>
      <c r="G23" s="175"/>
      <c r="H23" s="190">
        <f>VALUE(LEFT(B23,1))</f>
        <v>3</v>
      </c>
      <c r="I23" s="190" t="s">
        <v>29</v>
      </c>
      <c r="J23" s="191" t="e">
        <f ca="1">_xll.BAddPeriods($H$4,"Per="&amp;I23,"NumberOfPeriods="&amp;H23,$J$3,$J$4)</f>
        <v>#NAME?</v>
      </c>
      <c r="K23" s="192" t="e">
        <f ca="1">_xll.BAddPeriods($J23,"Per="&amp;I23,"NumberOfPeriods="&amp;6,$J$3,$J$4)</f>
        <v>#NAME?</v>
      </c>
      <c r="L23" s="176"/>
    </row>
    <row r="24" spans="1:12">
      <c r="A24" s="302"/>
      <c r="B24" s="188" t="s">
        <v>112</v>
      </c>
      <c r="C24" s="188" t="e">
        <f ca="1">$J$5&amp;"FR0DJ "&amp;  $D$4 &amp;" Index"</f>
        <v>#NAME?</v>
      </c>
      <c r="D24" s="189" t="e">
        <f ca="1">IF(ISNUMBER(_xll.BDP($C24,D$11,"UpdFreq="&amp;$A$6)),(_xll.BDP($C24,D$11,"UpdFreq="&amp;$A$6)+$G24)/100,(_xll.BDP($C24,"LAST PRICE","UpdFreq="&amp;$A$6)+$G24)/100)</f>
        <v>#NAME?</v>
      </c>
      <c r="E24" s="189" t="e">
        <f ca="1">IF(ISNUMBER(_xll.BDP($C24,E$11,"UpdFreq="&amp;$A$6)),(_xll.BDP($C24,E$11,"UpdFreq="&amp;$A$6)+$G24)/100,(_xll.BDP($C24,"LAST PRICE","UpdFreq="&amp;$A$6)+$G24)/100)</f>
        <v>#NAME?</v>
      </c>
      <c r="F24" s="189" t="e">
        <f ca="1">IF(ISNUMBER(_xll.BDP($C24,F$11,"UpdFreq="&amp;$A$6)),(_xll.BDP($C24,F$11,"UpdFreq="&amp;$A$6)+$G24)/100,(_xll.BDP($C24,"LAST PRICE","UpdFreq="&amp;$A$6)+$G24)/100)</f>
        <v>#NAME?</v>
      </c>
      <c r="G24" s="175"/>
      <c r="H24" s="190">
        <v>4</v>
      </c>
      <c r="I24" s="190" t="s">
        <v>29</v>
      </c>
      <c r="J24" s="191" t="e">
        <f ca="1">_xll.BAddPeriods($H$4,"Per="&amp;I24,"NumberOfPeriods="&amp;H24,$J$3,$J$4)</f>
        <v>#NAME?</v>
      </c>
      <c r="K24" s="192" t="e">
        <f ca="1">_xll.BAddPeriods($J24,"Per="&amp;I24,"NumberOfPeriods="&amp;6,$J$3,$J$4)</f>
        <v>#NAME?</v>
      </c>
      <c r="L24" s="176"/>
    </row>
    <row r="25" spans="1:12">
      <c r="A25" s="302"/>
      <c r="B25" s="188" t="s">
        <v>113</v>
      </c>
      <c r="C25" s="188" t="e">
        <f ca="1">$J$5&amp;"FR0EK "&amp;  $D$4 &amp;" Index"</f>
        <v>#NAME?</v>
      </c>
      <c r="D25" s="189" t="e">
        <f ca="1">IF(ISNUMBER(_xll.BDP($C25,D$11,"UpdFreq="&amp;$A$6)),(_xll.BDP($C25,D$11,"UpdFreq="&amp;$A$6)+$G25)/100,(_xll.BDP($C25,"LAST PRICE","UpdFreq="&amp;$A$6)+$G25)/100)</f>
        <v>#NAME?</v>
      </c>
      <c r="E25" s="189" t="e">
        <f ca="1">IF(ISNUMBER(_xll.BDP($C25,E$11,"UpdFreq="&amp;$A$6)),(_xll.BDP($C25,E$11,"UpdFreq="&amp;$A$6)+$G25)/100,(_xll.BDP($C25,"LAST PRICE","UpdFreq="&amp;$A$6)+$G25)/100)</f>
        <v>#NAME?</v>
      </c>
      <c r="F25" s="189" t="e">
        <f ca="1">IF(ISNUMBER(_xll.BDP($C25,F$11,"UpdFreq="&amp;$A$6)),(_xll.BDP($C25,F$11,"UpdFreq="&amp;$A$6)+$G25)/100,(_xll.BDP($C25,"LAST PRICE","UpdFreq="&amp;$A$6)+$G25)/100)</f>
        <v>#NAME?</v>
      </c>
      <c r="G25" s="175"/>
      <c r="H25" s="190">
        <v>5</v>
      </c>
      <c r="I25" s="190" t="s">
        <v>29</v>
      </c>
      <c r="J25" s="191" t="e">
        <f ca="1">_xll.BAddPeriods($H$4,"Per="&amp;I25,"NumberOfPeriods="&amp;H25,$J$3,$J$4)</f>
        <v>#NAME?</v>
      </c>
      <c r="K25" s="192" t="e">
        <f ca="1">_xll.BAddPeriods($J25,"Per="&amp;I25,"NumberOfPeriods="&amp;6,$J$3,$J$4)</f>
        <v>#NAME?</v>
      </c>
      <c r="L25" s="176"/>
    </row>
    <row r="26" spans="1:12">
      <c r="A26" s="302"/>
      <c r="B26" s="188" t="s">
        <v>114</v>
      </c>
      <c r="C26" s="188" t="e">
        <f ca="1">$J$5&amp;"FR0F1 "&amp;  $D$4 &amp;" Index"</f>
        <v>#NAME?</v>
      </c>
      <c r="D26" s="189" t="e">
        <f ca="1">IF(ISNUMBER(_xll.BDP($C26,D$11,"UpdFreq="&amp;$A$6)),(_xll.BDP($C26,D$11,"UpdFreq="&amp;$A$6)+$G26)/100,(_xll.BDP($C26,"LAST PRICE","UpdFreq="&amp;$A$6)+$G26)/100)</f>
        <v>#NAME?</v>
      </c>
      <c r="E26" s="189" t="e">
        <f ca="1">IF(ISNUMBER(_xll.BDP($C26,E$11,"UpdFreq="&amp;$A$6)),(_xll.BDP($C26,E$11,"UpdFreq="&amp;$A$6)+$G26)/100,(_xll.BDP($C26,"LAST PRICE","UpdFreq="&amp;$A$6)+$G26)/100)</f>
        <v>#NAME?</v>
      </c>
      <c r="F26" s="189" t="e">
        <f ca="1">IF(ISNUMBER(_xll.BDP($C26,F$11,"UpdFreq="&amp;$A$6)),(_xll.BDP($C26,F$11,"UpdFreq="&amp;$A$6)+$G26)/100,(_xll.BDP($C26,"LAST PRICE","UpdFreq="&amp;$A$6)+$G26)/100)</f>
        <v>#NAME?</v>
      </c>
      <c r="G26" s="175"/>
      <c r="H26" s="190">
        <v>6</v>
      </c>
      <c r="I26" s="190" t="s">
        <v>29</v>
      </c>
      <c r="J26" s="191" t="e">
        <f ca="1">_xll.BAddPeriods($H$4,"Per="&amp;I26,"NumberOfPeriods="&amp;H26,$J$3,$J$4)</f>
        <v>#NAME?</v>
      </c>
      <c r="K26" s="192" t="e">
        <f ca="1">_xll.BAddPeriods($J26,"Per="&amp;I26,"NumberOfPeriods="&amp;6,$J$3,$J$4)</f>
        <v>#NAME?</v>
      </c>
      <c r="L26" s="176"/>
    </row>
    <row r="27" spans="1:12">
      <c r="A27" s="302"/>
      <c r="B27" s="188" t="s">
        <v>115</v>
      </c>
      <c r="C27" s="188" t="e">
        <f ca="1">$J$5&amp;"FR0G1A "&amp;  $D$4 &amp;" Index"</f>
        <v>#NAME?</v>
      </c>
      <c r="D27" s="189" t="e">
        <f ca="1">IF(ISNUMBER(_xll.BDP($C27,D$11,"UpdFreq="&amp;$A$6)),(_xll.BDP($C27,D$11,"UpdFreq="&amp;$A$6)+$G27)/100,(_xll.BDP($C27,"LAST PRICE","UpdFreq="&amp;$A$6)+$G27)/100)</f>
        <v>#NAME?</v>
      </c>
      <c r="E27" s="189" t="e">
        <f ca="1">IF(ISNUMBER(_xll.BDP($C27,E$11,"UpdFreq="&amp;$A$6)),(_xll.BDP($C27,E$11,"UpdFreq="&amp;$A$6)+$G27)/100,(_xll.BDP($C27,"LAST PRICE","UpdFreq="&amp;$A$6)+$G27)/100)</f>
        <v>#NAME?</v>
      </c>
      <c r="F27" s="189" t="e">
        <f ca="1">IF(ISNUMBER(_xll.BDP($C27,F$11,"UpdFreq="&amp;$A$6)),(_xll.BDP($C27,F$11,"UpdFreq="&amp;$A$6)+$G27)/100,(_xll.BDP($C27,"LAST PRICE","UpdFreq="&amp;$A$6)+$G27)/100)</f>
        <v>#NAME?</v>
      </c>
      <c r="G27" s="175"/>
      <c r="H27" s="190">
        <v>7</v>
      </c>
      <c r="I27" s="190" t="s">
        <v>29</v>
      </c>
      <c r="J27" s="191" t="e">
        <f ca="1">_xll.BAddPeriods($H$4,"Per="&amp;I27,"NumberOfPeriods="&amp;H27,$J$3,$J$4)</f>
        <v>#NAME?</v>
      </c>
      <c r="K27" s="192" t="e">
        <f ca="1">_xll.BAddPeriods($J27,"Per="&amp;I27,"NumberOfPeriods="&amp;6,$J$3,$J$4)</f>
        <v>#NAME?</v>
      </c>
      <c r="L27" s="176"/>
    </row>
    <row r="28" spans="1:12">
      <c r="A28" s="302"/>
      <c r="B28" s="188" t="s">
        <v>116</v>
      </c>
      <c r="C28" s="188" t="e">
        <f ca="1">$J$5&amp;"FR0H1B "&amp;  $D$4 &amp;" Index"</f>
        <v>#NAME?</v>
      </c>
      <c r="D28" s="189" t="e">
        <f ca="1">IF(ISNUMBER(_xll.BDP($C28,D$11,"UpdFreq="&amp;$A$6)),(_xll.BDP($C28,D$11,"UpdFreq="&amp;$A$6)+$G28)/100,(_xll.BDP($C28,"LAST PRICE","UpdFreq="&amp;$A$6)+$G28)/100)</f>
        <v>#NAME?</v>
      </c>
      <c r="E28" s="189" t="e">
        <f ca="1">IF(ISNUMBER(_xll.BDP($C28,E$11,"UpdFreq="&amp;$A$6)),(_xll.BDP($C28,E$11,"UpdFreq="&amp;$A$6)+$G28)/100,(_xll.BDP($C28,"LAST PRICE","UpdFreq="&amp;$A$6)+$G28)/100)</f>
        <v>#NAME?</v>
      </c>
      <c r="F28" s="189" t="e">
        <f ca="1">IF(ISNUMBER(_xll.BDP($C28,F$11,"UpdFreq="&amp;$A$6)),(_xll.BDP($C28,F$11,"UpdFreq="&amp;$A$6)+$G28)/100,(_xll.BDP($C28,"LAST PRICE","UpdFreq="&amp;$A$6)+$G28)/100)</f>
        <v>#NAME?</v>
      </c>
      <c r="G28" s="175"/>
      <c r="H28" s="190">
        <v>8</v>
      </c>
      <c r="I28" s="190" t="s">
        <v>29</v>
      </c>
      <c r="J28" s="191" t="e">
        <f ca="1">_xll.BAddPeriods($H$4,"Per="&amp;I28,"NumberOfPeriods="&amp;H28,$J$3,$J$4)</f>
        <v>#NAME?</v>
      </c>
      <c r="K28" s="192" t="e">
        <f ca="1">_xll.BAddPeriods($J28,"Per="&amp;I28,"NumberOfPeriods="&amp;6,$J$3,$J$4)</f>
        <v>#NAME?</v>
      </c>
      <c r="L28" s="176"/>
    </row>
    <row r="29" spans="1:12">
      <c r="A29" s="302"/>
      <c r="B29" s="188" t="s">
        <v>117</v>
      </c>
      <c r="C29" s="188" t="e">
        <f ca="1">$J$5&amp;"FR0I1C "&amp;  $D$4 &amp;" Index"</f>
        <v>#NAME?</v>
      </c>
      <c r="D29" s="189" t="e">
        <f ca="1">IF(ISNUMBER(_xll.BDP($C29,D$11,"UpdFreq="&amp;$A$6)),(_xll.BDP($C29,D$11,"UpdFreq="&amp;$A$6)+$G29)/100,(_xll.BDP($C29,"LAST PRICE","UpdFreq="&amp;$A$6)+$G29)/100)</f>
        <v>#NAME?</v>
      </c>
      <c r="E29" s="189" t="e">
        <f ca="1">IF(ISNUMBER(_xll.BDP($C29,E$11,"UpdFreq="&amp;$A$6)),(_xll.BDP($C29,E$11,"UpdFreq="&amp;$A$6)+$G29)/100,(_xll.BDP($C29,"LAST PRICE","UpdFreq="&amp;$A$6)+$G29)/100)</f>
        <v>#NAME?</v>
      </c>
      <c r="F29" s="189" t="e">
        <f ca="1">IF(ISNUMBER(_xll.BDP($C29,F$11,"UpdFreq="&amp;$A$6)),(_xll.BDP($C29,F$11,"UpdFreq="&amp;$A$6)+$G29)/100,(_xll.BDP($C29,"LAST PRICE","UpdFreq="&amp;$A$6)+$G29)/100)</f>
        <v>#NAME?</v>
      </c>
      <c r="G29" s="175"/>
      <c r="H29" s="190">
        <v>9</v>
      </c>
      <c r="I29" s="190" t="s">
        <v>29</v>
      </c>
      <c r="J29" s="191" t="e">
        <f ca="1">_xll.BAddPeriods($H$4,"Per="&amp;I29,"NumberOfPeriods="&amp;H29,$J$3,$J$4)</f>
        <v>#NAME?</v>
      </c>
      <c r="K29" s="192" t="e">
        <f ca="1">_xll.BAddPeriods($J29,"Per="&amp;I29,"NumberOfPeriods="&amp;6,$J$3,$J$4)</f>
        <v>#NAME?</v>
      </c>
      <c r="L29" s="176"/>
    </row>
    <row r="30" spans="1:12">
      <c r="A30" s="302"/>
      <c r="B30" s="188" t="s">
        <v>118</v>
      </c>
      <c r="C30" s="188" t="e">
        <f ca="1">$J$5&amp;"FR0J1D "&amp;  $D$4 &amp;" Index"</f>
        <v>#NAME?</v>
      </c>
      <c r="D30" s="189" t="e">
        <f ca="1">IF(ISNUMBER(_xll.BDP($C30,D$11,"UpdFreq="&amp;$A$6)),(_xll.BDP($C30,D$11,"UpdFreq="&amp;$A$6)+$G30)/100,(_xll.BDP($C30,"LAST PRICE","UpdFreq="&amp;$A$6)+$G30)/100)</f>
        <v>#NAME?</v>
      </c>
      <c r="E30" s="189" t="e">
        <f ca="1">IF(ISNUMBER(_xll.BDP($C30,E$11,"UpdFreq="&amp;$A$6)),(_xll.BDP($C30,E$11,"UpdFreq="&amp;$A$6)+$G30)/100,(_xll.BDP($C30,"LAST PRICE","UpdFreq="&amp;$A$6)+$G30)/100)</f>
        <v>#NAME?</v>
      </c>
      <c r="F30" s="189" t="e">
        <f ca="1">IF(ISNUMBER(_xll.BDP($C30,F$11,"UpdFreq="&amp;$A$6)),(_xll.BDP($C30,F$11,"UpdFreq="&amp;$A$6)+$G30)/100,(_xll.BDP($C30,"LAST PRICE","UpdFreq="&amp;$A$6)+$G30)/100)</f>
        <v>#NAME?</v>
      </c>
      <c r="G30" s="175"/>
      <c r="H30" s="190">
        <v>10</v>
      </c>
      <c r="I30" s="190" t="s">
        <v>29</v>
      </c>
      <c r="J30" s="191" t="e">
        <f ca="1">_xll.BAddPeriods($H$4,"Per="&amp;I30,"NumberOfPeriods="&amp;H30,$J$3,$J$4)</f>
        <v>#NAME?</v>
      </c>
      <c r="K30" s="192" t="e">
        <f ca="1">_xll.BAddPeriods($J30,"Per="&amp;I30,"NumberOfPeriods="&amp;6,$J$3,$J$4)</f>
        <v>#NAME?</v>
      </c>
      <c r="L30" s="176"/>
    </row>
    <row r="31" spans="1:12">
      <c r="A31" s="302"/>
      <c r="B31" s="188" t="s">
        <v>119</v>
      </c>
      <c r="C31" s="188" t="e">
        <f ca="1">$J$5&amp;"FR0K1E "&amp;  $D$4 &amp;" Index"</f>
        <v>#NAME?</v>
      </c>
      <c r="D31" s="189" t="e">
        <f ca="1">IF(ISNUMBER(_xll.BDP($C31,D$11,"UpdFreq="&amp;$A$6)),(_xll.BDP($C31,D$11,"UpdFreq="&amp;$A$6)+$G31)/100,(_xll.BDP($C31,"LAST PRICE","UpdFreq="&amp;$A$6)+$G31)/100)</f>
        <v>#NAME?</v>
      </c>
      <c r="E31" s="189" t="e">
        <f ca="1">IF(ISNUMBER(_xll.BDP($C31,E$11,"UpdFreq="&amp;$A$6)),(_xll.BDP($C31,E$11,"UpdFreq="&amp;$A$6)+$G31)/100,(_xll.BDP($C31,"LAST PRICE","UpdFreq="&amp;$A$6)+$G31)/100)</f>
        <v>#NAME?</v>
      </c>
      <c r="F31" s="189" t="e">
        <f ca="1">IF(ISNUMBER(_xll.BDP($C31,F$11,"UpdFreq="&amp;$A$6)),(_xll.BDP($C31,F$11,"UpdFreq="&amp;$A$6)+$G31)/100,(_xll.BDP($C31,"LAST PRICE","UpdFreq="&amp;$A$6)+$G31)/100)</f>
        <v>#NAME?</v>
      </c>
      <c r="G31" s="175"/>
      <c r="H31" s="190">
        <v>11</v>
      </c>
      <c r="I31" s="190" t="s">
        <v>29</v>
      </c>
      <c r="J31" s="191" t="e">
        <f ca="1">_xll.BAddPeriods($H$4,"Per="&amp;I31,"NumberOfPeriods="&amp;H31,$J$3,$J$4)</f>
        <v>#NAME?</v>
      </c>
      <c r="K31" s="192" t="e">
        <f ca="1">_xll.BAddPeriods($J31,"Per="&amp;I31,"NumberOfPeriods="&amp;6,$J$3,$J$4)</f>
        <v>#NAME?</v>
      </c>
      <c r="L31" s="176"/>
    </row>
    <row r="32" spans="1:12">
      <c r="A32" s="303"/>
      <c r="B32" s="193" t="s">
        <v>120</v>
      </c>
      <c r="C32" s="193" t="e">
        <f ca="1">$J$5&amp;"FR011F "&amp;  $D$4 &amp;" Index"</f>
        <v>#NAME?</v>
      </c>
      <c r="D32" s="194" t="e">
        <f ca="1">IF(ISNUMBER(_xll.BDP($C32,D$11,"UpdFreq="&amp;$A$6)),(_xll.BDP($C32,D$11,"UpdFreq="&amp;$A$6)+$G32)/100,(_xll.BDP($C32,"LAST PRICE","UpdFreq="&amp;$A$6)+$G32)/100)</f>
        <v>#NAME?</v>
      </c>
      <c r="E32" s="194" t="e">
        <f ca="1">IF(ISNUMBER(_xll.BDP($C32,E$11,"UpdFreq="&amp;$A$6)),(_xll.BDP($C32,E$11,"UpdFreq="&amp;$A$6)+$G32)/100,(_xll.BDP($C32,"LAST PRICE","UpdFreq="&amp;$A$6)+$G32)/100)</f>
        <v>#NAME?</v>
      </c>
      <c r="F32" s="194" t="e">
        <f ca="1">IF(ISNUMBER(_xll.BDP($C32,F$11,"UpdFreq="&amp;$A$6)),(_xll.BDP($C32,F$11,"UpdFreq="&amp;$A$6)+$G32)/100,(_xll.BDP($C32,"LAST PRICE","UpdFreq="&amp;$A$6)+$G32)/100)</f>
        <v>#NAME?</v>
      </c>
      <c r="G32" s="175"/>
      <c r="H32" s="190">
        <v>12</v>
      </c>
      <c r="I32" s="195" t="s">
        <v>29</v>
      </c>
      <c r="J32" s="196" t="e">
        <f ca="1">_xll.BAddPeriods($H$4,"Per="&amp;I32,"NumberOfPeriods="&amp;H32,$J$3,$J$4)</f>
        <v>#NAME?</v>
      </c>
      <c r="K32" s="192" t="e">
        <f ca="1">_xll.BAddPeriods($J32,"Per="&amp;I32,"NumberOfPeriods="&amp;6,$J$3,$J$4)</f>
        <v>#NAME?</v>
      </c>
      <c r="L32" s="176"/>
    </row>
    <row r="33" spans="1:12">
      <c r="A33" s="296" t="s">
        <v>5</v>
      </c>
      <c r="B33" s="197" t="s">
        <v>3</v>
      </c>
      <c r="C33" s="198" t="e">
        <f ca="1">$J$5 &amp; "SA" &amp; LEFT(B33,1)&amp;" " &amp; $D$5&amp; " Index"</f>
        <v>#NAME?</v>
      </c>
      <c r="D33" s="199" t="e">
        <f ca="1">IF(ISNUMBER(_xll.BDP(C33,$D$11,"UpdFreq="&amp;$A$6)),(_xll.BDP(C33,$D$11,"UpdFreq="&amp;$A$6)+G33)/100,(_xll.BDP(C33,"LAST PRICE","UpdFreq="&amp;$A$6)+G33)/100)</f>
        <v>#NAME?</v>
      </c>
      <c r="E33" s="199" t="e">
        <f ca="1">IF(ISNUMBER(_xll.BDP(C33,$E$11,"UpdFreq="&amp;$A$6)),(_xll.BDP(C33,$E$11,"UpdFreq="&amp;$A$6)+G33)/100,(_xll.BDP(C33,"LAST PRICE","UpdFreq="&amp;$A$6)+G33)/100)</f>
        <v>#NAME?</v>
      </c>
      <c r="F33" s="200" t="e">
        <f t="shared" ref="F33:F52" ca="1" si="3">AVERAGE(D33,E33)</f>
        <v>#NAME?</v>
      </c>
      <c r="G33" s="174"/>
      <c r="H33" s="201">
        <v>1</v>
      </c>
      <c r="I33" s="201" t="s">
        <v>30</v>
      </c>
      <c r="J33" s="202" t="e">
        <f ca="1">$H$4</f>
        <v>#NAME?</v>
      </c>
      <c r="K33" s="203" t="e">
        <f ca="1">_xll.BAddPeriods($H$4,"Per="&amp;I33,"NumberOfPeriods="&amp;H33,$J$3,$J$4)</f>
        <v>#NAME?</v>
      </c>
      <c r="L33" s="166"/>
    </row>
    <row r="34" spans="1:12">
      <c r="A34" s="296"/>
      <c r="B34" s="204" t="s">
        <v>90</v>
      </c>
      <c r="C34" s="205" t="e">
        <f ca="1">$J$5 &amp; "SA" &amp; "1F" &amp;" " &amp; $D$5&amp; " Index"</f>
        <v>#NAME?</v>
      </c>
      <c r="D34" s="206" t="e">
        <f ca="1">IF(ISNUMBER(_xll.BDP(C34,$D$11,"UpdFreq="&amp;$A$6)),(_xll.BDP(C34,$D$11,"UpdFreq="&amp;$A$6)+G34)/100,(_xll.BDP(C34,"LAST PRICE","UpdFreq="&amp;$A$6)+G34)/100)</f>
        <v>#NAME?</v>
      </c>
      <c r="E34" s="206" t="e">
        <f ca="1">IF(ISNUMBER(_xll.BDP(C34,$E$11,"UpdFreq="&amp;$A$6)),(_xll.BDP(C34,$E$11,"UpdFreq="&amp;$A$6)+G34)/100,(_xll.BDP(C34,"LAST PRICE","UpdFreq="&amp;$A$6)+G34)/100)</f>
        <v>#NAME?</v>
      </c>
      <c r="F34" s="207" t="e">
        <f ca="1">AVERAGE(D34,E34)</f>
        <v>#NAME?</v>
      </c>
      <c r="G34" s="174"/>
      <c r="H34" s="208">
        <v>18</v>
      </c>
      <c r="I34" s="208" t="s">
        <v>29</v>
      </c>
      <c r="J34" s="209"/>
      <c r="K34" s="223" t="e">
        <f ca="1">_xll.BAddPeriods($H$4,"Per="&amp;I34,"NumberOfPeriods="&amp;H34,$J$3,$J$4)</f>
        <v>#NAME?</v>
      </c>
      <c r="L34" s="166"/>
    </row>
    <row r="35" spans="1:12">
      <c r="A35" s="296"/>
      <c r="B35" s="204" t="s">
        <v>7</v>
      </c>
      <c r="C35" s="205" t="e">
        <f t="shared" ref="C35:C42" ca="1" si="4">$J$5 &amp; "SA" &amp; LEFT(B35,1)&amp;" " &amp; $D$5&amp; " Index"</f>
        <v>#NAME?</v>
      </c>
      <c r="D35" s="206" t="e">
        <f ca="1">IF(ISNUMBER(_xll.BDP(C35,$D$11,"UpdFreq="&amp;$A$6)),(_xll.BDP(C35,$D$11,"UpdFreq="&amp;$A$6)+G35)/100,(_xll.BDP(C35,"LAST PRICE","UpdFreq="&amp;$A$6)+G35)/100)</f>
        <v>#NAME?</v>
      </c>
      <c r="E35" s="206" t="e">
        <f ca="1">IF(ISNUMBER(_xll.BDP(C35,$E$11,"UpdFreq="&amp;$A$6)),(_xll.BDP(C35,$E$11,"UpdFreq="&amp;$A$6)+G35)/100,(_xll.BDP(C35,"LAST PRICE","UpdFreq="&amp;$A$6)+G35)/100)</f>
        <v>#NAME?</v>
      </c>
      <c r="F35" s="207" t="e">
        <f t="shared" ca="1" si="3"/>
        <v>#NAME?</v>
      </c>
      <c r="G35" s="174"/>
      <c r="H35" s="208">
        <f t="shared" ref="H35:H52" si="5">VALUE(LEFT(B35,2))</f>
        <v>2</v>
      </c>
      <c r="I35" s="208" t="s">
        <v>30</v>
      </c>
      <c r="J35" s="209"/>
      <c r="K35" s="210" t="e">
        <f ca="1">_xll.BAddPeriods($H$4,"Per="&amp;I35,"NumberOfPeriods="&amp;H35,$J$3,$J$4)</f>
        <v>#NAME?</v>
      </c>
      <c r="L35" s="166"/>
    </row>
    <row r="36" spans="1:12">
      <c r="A36" s="296"/>
      <c r="B36" s="204" t="s">
        <v>8</v>
      </c>
      <c r="C36" s="205" t="e">
        <f t="shared" ca="1" si="4"/>
        <v>#NAME?</v>
      </c>
      <c r="D36" s="206" t="e">
        <f ca="1">IF(ISNUMBER(_xll.BDP(C36,$D$11,"UpdFreq="&amp;$A$6)),(_xll.BDP(C36,$D$11,"UpdFreq="&amp;$A$6)+G36)/100,(_xll.BDP(C36,"LAST PRICE","UpdFreq="&amp;$A$6)+G36)/100)</f>
        <v>#NAME?</v>
      </c>
      <c r="E36" s="206" t="e">
        <f ca="1">IF(ISNUMBER(_xll.BDP(C36,$E$11,"UpdFreq="&amp;$A$6)),(_xll.BDP(C36,$E$11,"UpdFreq="&amp;$A$6)+G36)/100,(_xll.BDP(C36,"LAST PRICE","UpdFreq="&amp;$A$6)+G36)/100)</f>
        <v>#NAME?</v>
      </c>
      <c r="F36" s="207" t="e">
        <f t="shared" ca="1" si="3"/>
        <v>#NAME?</v>
      </c>
      <c r="G36" s="174"/>
      <c r="H36" s="208">
        <f t="shared" si="5"/>
        <v>3</v>
      </c>
      <c r="I36" s="208" t="s">
        <v>30</v>
      </c>
      <c r="J36" s="209"/>
      <c r="K36" s="210" t="e">
        <f ca="1">_xll.BAddPeriods($H$4,"Per="&amp;I36,"NumberOfPeriods="&amp;H36,$J$3,$J$4)</f>
        <v>#NAME?</v>
      </c>
      <c r="L36" s="166"/>
    </row>
    <row r="37" spans="1:12">
      <c r="A37" s="296"/>
      <c r="B37" s="204" t="s">
        <v>9</v>
      </c>
      <c r="C37" s="205" t="e">
        <f t="shared" ca="1" si="4"/>
        <v>#NAME?</v>
      </c>
      <c r="D37" s="206" t="e">
        <f ca="1">IF(ISNUMBER(_xll.BDP(C37,$D$11,"UpdFreq="&amp;$A$6)),(_xll.BDP(C37,$D$11,"UpdFreq="&amp;$A$6)+G37)/100,(_xll.BDP(C37,"LAST PRICE","UpdFreq="&amp;$A$6)+G37)/100)</f>
        <v>#NAME?</v>
      </c>
      <c r="E37" s="206" t="e">
        <f ca="1">IF(ISNUMBER(_xll.BDP(C37,$E$11,"UpdFreq="&amp;$A$6)),(_xll.BDP(C37,$E$11,"UpdFreq="&amp;$A$6)+G37)/100,(_xll.BDP(C37,"LAST PRICE","UpdFreq="&amp;$A$6)+G37)/100)</f>
        <v>#NAME?</v>
      </c>
      <c r="F37" s="207" t="e">
        <f t="shared" ca="1" si="3"/>
        <v>#NAME?</v>
      </c>
      <c r="G37" s="174"/>
      <c r="H37" s="208">
        <f t="shared" si="5"/>
        <v>4</v>
      </c>
      <c r="I37" s="208" t="s">
        <v>30</v>
      </c>
      <c r="J37" s="209"/>
      <c r="K37" s="210" t="e">
        <f ca="1">_xll.BAddPeriods($H$4,"Per="&amp;I37,"NumberOfPeriods="&amp;H37,$J$3,$J$4)</f>
        <v>#NAME?</v>
      </c>
      <c r="L37" s="166"/>
    </row>
    <row r="38" spans="1:12">
      <c r="A38" s="296"/>
      <c r="B38" s="204" t="s">
        <v>10</v>
      </c>
      <c r="C38" s="205" t="e">
        <f t="shared" ca="1" si="4"/>
        <v>#NAME?</v>
      </c>
      <c r="D38" s="206" t="e">
        <f ca="1">IF(ISNUMBER(_xll.BDP(C38,$D$11,"UpdFreq="&amp;$A$6)),(_xll.BDP(C38,$D$11,"UpdFreq="&amp;$A$6)+G38)/100,(_xll.BDP(C38,"LAST PRICE","UpdFreq="&amp;$A$6)+G38)/100)</f>
        <v>#NAME?</v>
      </c>
      <c r="E38" s="206" t="e">
        <f ca="1">IF(ISNUMBER(_xll.BDP(C38,$E$11,"UpdFreq="&amp;$A$6)),(_xll.BDP(C38,$E$11,"UpdFreq="&amp;$A$6)+G38)/100,(_xll.BDP(C38,"LAST PRICE","UpdFreq="&amp;$A$6)+G38)/100)</f>
        <v>#NAME?</v>
      </c>
      <c r="F38" s="207" t="e">
        <f t="shared" ca="1" si="3"/>
        <v>#NAME?</v>
      </c>
      <c r="G38" s="174"/>
      <c r="H38" s="208">
        <f t="shared" si="5"/>
        <v>5</v>
      </c>
      <c r="I38" s="208" t="s">
        <v>30</v>
      </c>
      <c r="J38" s="209"/>
      <c r="K38" s="210" t="e">
        <f ca="1">_xll.BAddPeriods($H$4,"Per="&amp;I38,"NumberOfPeriods="&amp;H38,$J$3,$J$4)</f>
        <v>#NAME?</v>
      </c>
      <c r="L38" s="166"/>
    </row>
    <row r="39" spans="1:12">
      <c r="A39" s="296"/>
      <c r="B39" s="204" t="s">
        <v>11</v>
      </c>
      <c r="C39" s="205" t="e">
        <f t="shared" ca="1" si="4"/>
        <v>#NAME?</v>
      </c>
      <c r="D39" s="206" t="e">
        <f ca="1">IF(ISNUMBER(_xll.BDP(C39,$D$11,"UpdFreq="&amp;$A$6)),(_xll.BDP(C39,$D$11,"UpdFreq="&amp;$A$6)+G39)/100,(_xll.BDP(C39,"LAST PRICE","UpdFreq="&amp;$A$6)+G39)/100)</f>
        <v>#NAME?</v>
      </c>
      <c r="E39" s="206" t="e">
        <f ca="1">IF(ISNUMBER(_xll.BDP(C39,$E$11,"UpdFreq="&amp;$A$6)),(_xll.BDP(C39,$E$11,"UpdFreq="&amp;$A$6)+G39)/100,(_xll.BDP(C39,"LAST PRICE","UpdFreq="&amp;$A$6)+G39)/100)</f>
        <v>#NAME?</v>
      </c>
      <c r="F39" s="207" t="e">
        <f t="shared" ca="1" si="3"/>
        <v>#NAME?</v>
      </c>
      <c r="G39" s="174"/>
      <c r="H39" s="208">
        <f t="shared" si="5"/>
        <v>6</v>
      </c>
      <c r="I39" s="208" t="s">
        <v>30</v>
      </c>
      <c r="J39" s="209"/>
      <c r="K39" s="210" t="e">
        <f ca="1">_xll.BAddPeriods($H$4,"Per="&amp;I39,"NumberOfPeriods="&amp;H39,$J$3,$J$4)</f>
        <v>#NAME?</v>
      </c>
      <c r="L39" s="166"/>
    </row>
    <row r="40" spans="1:12">
      <c r="A40" s="296"/>
      <c r="B40" s="204" t="s">
        <v>12</v>
      </c>
      <c r="C40" s="205" t="e">
        <f t="shared" ca="1" si="4"/>
        <v>#NAME?</v>
      </c>
      <c r="D40" s="206" t="e">
        <f ca="1">IF(ISNUMBER(_xll.BDP(C40,$D$11,"UpdFreq="&amp;$A$6)),(_xll.BDP(C40,$D$11,"UpdFreq="&amp;$A$6)+G40)/100,(_xll.BDP(C40,"LAST PRICE","UpdFreq="&amp;$A$6)+G40)/100)</f>
        <v>#NAME?</v>
      </c>
      <c r="E40" s="206" t="e">
        <f ca="1">IF(ISNUMBER(_xll.BDP(C40,$E$11,"UpdFreq="&amp;$A$6)),(_xll.BDP(C40,$E$11,"UpdFreq="&amp;$A$6)+G40)/100,(_xll.BDP(C40,"LAST PRICE","UpdFreq="&amp;$A$6)+G40)/100)</f>
        <v>#NAME?</v>
      </c>
      <c r="F40" s="207" t="e">
        <f t="shared" ca="1" si="3"/>
        <v>#NAME?</v>
      </c>
      <c r="G40" s="174"/>
      <c r="H40" s="208">
        <f t="shared" si="5"/>
        <v>7</v>
      </c>
      <c r="I40" s="208" t="s">
        <v>30</v>
      </c>
      <c r="J40" s="209"/>
      <c r="K40" s="210" t="e">
        <f ca="1">_xll.BAddPeriods($H$4,"Per="&amp;I40,"NumberOfPeriods="&amp;H40,$J$3,$J$4)</f>
        <v>#NAME?</v>
      </c>
      <c r="L40" s="166"/>
    </row>
    <row r="41" spans="1:12">
      <c r="A41" s="296"/>
      <c r="B41" s="204" t="s">
        <v>13</v>
      </c>
      <c r="C41" s="205" t="e">
        <f t="shared" ca="1" si="4"/>
        <v>#NAME?</v>
      </c>
      <c r="D41" s="206" t="e">
        <f ca="1">IF(ISNUMBER(_xll.BDP(C41,$D$11,"UpdFreq="&amp;$A$6)),(_xll.BDP(C41,$D$11,"UpdFreq="&amp;$A$6)+G41)/100,(_xll.BDP(C41,"LAST PRICE","UpdFreq="&amp;$A$6)+G41)/100)</f>
        <v>#NAME?</v>
      </c>
      <c r="E41" s="206" t="e">
        <f ca="1">IF(ISNUMBER(_xll.BDP(C41,$E$11,"UpdFreq="&amp;$A$6)),(_xll.BDP(C41,$E$11,"UpdFreq="&amp;$A$6)+G41)/100,(_xll.BDP(C41,"LAST PRICE","UpdFreq="&amp;$A$6)+G41)/100)</f>
        <v>#NAME?</v>
      </c>
      <c r="F41" s="207" t="e">
        <f t="shared" ca="1" si="3"/>
        <v>#NAME?</v>
      </c>
      <c r="G41" s="174"/>
      <c r="H41" s="208">
        <f t="shared" si="5"/>
        <v>8</v>
      </c>
      <c r="I41" s="208" t="s">
        <v>30</v>
      </c>
      <c r="J41" s="209"/>
      <c r="K41" s="210" t="e">
        <f ca="1">_xll.BAddPeriods($H$4,"Per="&amp;I41,"NumberOfPeriods="&amp;H41,$J$3,$J$4)</f>
        <v>#NAME?</v>
      </c>
      <c r="L41" s="166"/>
    </row>
    <row r="42" spans="1:12">
      <c r="A42" s="297"/>
      <c r="B42" s="204" t="s">
        <v>14</v>
      </c>
      <c r="C42" s="205" t="e">
        <f t="shared" ca="1" si="4"/>
        <v>#NAME?</v>
      </c>
      <c r="D42" s="206" t="e">
        <f ca="1">IF(ISNUMBER(_xll.BDP(C42,$D$11,"UpdFreq="&amp;$A$6)),(_xll.BDP(C42,$D$11,"UpdFreq="&amp;$A$6)+G42)/100,(_xll.BDP(C42,"LAST PRICE","UpdFreq="&amp;$A$6)+G42)/100)</f>
        <v>#NAME?</v>
      </c>
      <c r="E42" s="206" t="e">
        <f ca="1">IF(ISNUMBER(_xll.BDP(C42,$E$11,"UpdFreq="&amp;$A$6)),(_xll.BDP(C42,$E$11,"UpdFreq="&amp;$A$6)+G42)/100,(_xll.BDP(C42,"LAST PRICE","UpdFreq="&amp;$A$6)+G42)/100)</f>
        <v>#NAME?</v>
      </c>
      <c r="F42" s="207" t="e">
        <f t="shared" ca="1" si="3"/>
        <v>#NAME?</v>
      </c>
      <c r="G42" s="174"/>
      <c r="H42" s="208">
        <f t="shared" si="5"/>
        <v>9</v>
      </c>
      <c r="I42" s="208" t="s">
        <v>30</v>
      </c>
      <c r="J42" s="209"/>
      <c r="K42" s="210" t="e">
        <f ca="1">_xll.BAddPeriods($H$4,"Per="&amp;I42,"NumberOfPeriods="&amp;H42,$J$3,$J$4)</f>
        <v>#NAME?</v>
      </c>
      <c r="L42" s="166"/>
    </row>
    <row r="43" spans="1:12">
      <c r="A43" s="297"/>
      <c r="B43" s="204" t="s">
        <v>15</v>
      </c>
      <c r="C43" s="205" t="e">
        <f ca="1">$J$5 &amp; "SA" &amp; LEFT(B43,2)&amp;" " &amp; $D$5&amp; " Index"</f>
        <v>#NAME?</v>
      </c>
      <c r="D43" s="206" t="e">
        <f ca="1">IF(ISNUMBER(_xll.BDP(C43,$D$11,"UpdFreq="&amp;$A$6)),(_xll.BDP(C43,$D$11,"UpdFreq="&amp;$A$6)+G43)/100,(_xll.BDP(C43,"LAST PRICE","UpdFreq="&amp;$A$6)+G43)/100)</f>
        <v>#NAME?</v>
      </c>
      <c r="E43" s="206" t="e">
        <f ca="1">IF(ISNUMBER(_xll.BDP(C43,$E$11,"UpdFreq="&amp;$A$6)),(_xll.BDP(C43,$E$11,"UpdFreq="&amp;$A$6)+G43)/100,(_xll.BDP(C43,"LAST PRICE","UpdFreq="&amp;$A$6)+G43)/100)</f>
        <v>#NAME?</v>
      </c>
      <c r="F43" s="207" t="e">
        <f t="shared" ca="1" si="3"/>
        <v>#NAME?</v>
      </c>
      <c r="G43" s="174"/>
      <c r="H43" s="208">
        <f t="shared" si="5"/>
        <v>10</v>
      </c>
      <c r="I43" s="208" t="s">
        <v>30</v>
      </c>
      <c r="J43" s="209"/>
      <c r="K43" s="210" t="e">
        <f ca="1">_xll.BAddPeriods($H$4,"Per="&amp;I43,"NumberOfPeriods="&amp;H43,$J$3,$J$4)</f>
        <v>#NAME?</v>
      </c>
      <c r="L43" s="166"/>
    </row>
    <row r="44" spans="1:12">
      <c r="A44" s="297"/>
      <c r="B44" s="204" t="s">
        <v>16</v>
      </c>
      <c r="C44" s="205" t="e">
        <f ca="1">$J$5 &amp; "SA" &amp; LEFT(B44,2)&amp;" " &amp; $D$5&amp; " Index"</f>
        <v>#NAME?</v>
      </c>
      <c r="D44" s="206" t="e">
        <f ca="1">IF(ISNUMBER(_xll.BDP(C44,$D$11,"UpdFreq="&amp;$A$6)),(_xll.BDP(C44,$D$11,"UpdFreq="&amp;$A$6)+G44)/100,(_xll.BDP(C44,"LAST PRICE","UpdFreq="&amp;$A$6)+G44)/100)</f>
        <v>#NAME?</v>
      </c>
      <c r="E44" s="206" t="e">
        <f ca="1">IF(ISNUMBER(_xll.BDP(C44,$E$11,"UpdFreq="&amp;$A$6)),(_xll.BDP(C44,$E$11,"UpdFreq="&amp;$A$6)+G44)/100,(_xll.BDP(C44,"LAST PRICE","UpdFreq="&amp;$A$6)+G44)/100)</f>
        <v>#NAME?</v>
      </c>
      <c r="F44" s="207" t="e">
        <f t="shared" ca="1" si="3"/>
        <v>#NAME?</v>
      </c>
      <c r="G44" s="174"/>
      <c r="H44" s="208">
        <f t="shared" si="5"/>
        <v>12</v>
      </c>
      <c r="I44" s="208" t="s">
        <v>30</v>
      </c>
      <c r="J44" s="209"/>
      <c r="K44" s="210" t="e">
        <f ca="1">_xll.BAddPeriods($H$4,"Per="&amp;I44,"NumberOfPeriods="&amp;H44,$J$3,$J$4)</f>
        <v>#NAME?</v>
      </c>
      <c r="L44" s="166"/>
    </row>
    <row r="45" spans="1:12">
      <c r="A45" s="297"/>
      <c r="B45" s="204" t="s">
        <v>17</v>
      </c>
      <c r="C45" s="205" t="e">
        <f ca="1">$J$5 &amp; "SA" &amp; LEFT(B45,2)&amp;" " &amp; $D$5&amp; " Index"</f>
        <v>#NAME?</v>
      </c>
      <c r="D45" s="206" t="e">
        <f ca="1">IF(ISNUMBER(_xll.BDP(C45,$D$11,"UpdFreq="&amp;$A$6)),(_xll.BDP(C45,$D$11,"UpdFreq="&amp;$A$6)+G45)/100,(_xll.BDP(C45,"LAST PRICE","UpdFreq="&amp;$A$6)+G45)/100)</f>
        <v>#NAME?</v>
      </c>
      <c r="E45" s="206" t="e">
        <f ca="1">IF(ISNUMBER(_xll.BDP(C45,$E$11,"UpdFreq="&amp;$A$6)),(_xll.BDP(C45,$E$11,"UpdFreq="&amp;$A$6)+G45)/100,(_xll.BDP(C45,"LAST PRICE","UpdFreq="&amp;$A$6)+G45)/100)</f>
        <v>#NAME?</v>
      </c>
      <c r="F45" s="207" t="e">
        <f t="shared" ca="1" si="3"/>
        <v>#NAME?</v>
      </c>
      <c r="G45" s="174"/>
      <c r="H45" s="208">
        <f t="shared" si="5"/>
        <v>15</v>
      </c>
      <c r="I45" s="208" t="s">
        <v>30</v>
      </c>
      <c r="J45" s="209"/>
      <c r="K45" s="210" t="e">
        <f ca="1">_xll.BAddPeriods($H$4,"Per="&amp;I45,"NumberOfPeriods="&amp;H45,$J$3,$J$4)</f>
        <v>#NAME?</v>
      </c>
      <c r="L45" s="166"/>
    </row>
    <row r="46" spans="1:12">
      <c r="A46" s="297"/>
      <c r="B46" s="204" t="s">
        <v>18</v>
      </c>
      <c r="C46" s="205" t="e">
        <f ca="1">$J$5 &amp; "SA" &amp; LEFT(B46,2)&amp;" " &amp; $D$5&amp; " Index"</f>
        <v>#NAME?</v>
      </c>
      <c r="D46" s="206" t="e">
        <f ca="1">IF(ISNUMBER(_xll.BDP(C46,$D$11,"UpdFreq="&amp;$A$6)),(_xll.BDP(C46,$D$11,"UpdFreq="&amp;$A$6)+G46)/100,(_xll.BDP(C46,"LAST PRICE","UpdFreq="&amp;$A$6)+G46)/100)</f>
        <v>#NAME?</v>
      </c>
      <c r="E46" s="206" t="e">
        <f ca="1">IF(ISNUMBER(_xll.BDP(C46,$E$11,"UpdFreq="&amp;$A$6)),(_xll.BDP(C46,$E$11,"UpdFreq="&amp;$A$6)+G46)/100,(_xll.BDP(C46,"LAST PRICE","UpdFreq="&amp;$A$6)+G46)/100)</f>
        <v>#NAME?</v>
      </c>
      <c r="F46" s="207" t="e">
        <f t="shared" ca="1" si="3"/>
        <v>#NAME?</v>
      </c>
      <c r="G46" s="174"/>
      <c r="H46" s="208">
        <f t="shared" si="5"/>
        <v>20</v>
      </c>
      <c r="I46" s="208" t="s">
        <v>30</v>
      </c>
      <c r="J46" s="209"/>
      <c r="K46" s="210" t="e">
        <f ca="1">_xll.BAddPeriods($H$4,"Per="&amp;I46,"NumberOfPeriods="&amp;H46,$J$3,$J$4)</f>
        <v>#NAME?</v>
      </c>
      <c r="L46" s="166"/>
    </row>
    <row r="47" spans="1:12">
      <c r="A47" s="297"/>
      <c r="B47" s="204" t="s">
        <v>19</v>
      </c>
      <c r="C47" s="205" t="e">
        <f t="shared" ref="C47:C52" ca="1" si="6">$J$5 &amp; "SA" &amp; LEFT(B47,2)&amp;" " &amp; $D$5&amp; " Index"</f>
        <v>#NAME?</v>
      </c>
      <c r="D47" s="206" t="e">
        <f ca="1">IF(ISNUMBER(_xll.BDP(C47,$D$11,"UpdFreq="&amp;$A$6)),(_xll.BDP(C47,$D$11,"UpdFreq="&amp;$A$6)+G47)/100,(_xll.BDP(C47,"LAST PRICE","UpdFreq="&amp;$A$6)+G47)/100)</f>
        <v>#NAME?</v>
      </c>
      <c r="E47" s="206" t="e">
        <f ca="1">IF(ISNUMBER(_xll.BDP(C47,$E$11,"UpdFreq="&amp;$A$6)),(_xll.BDP(C47,$E$11,"UpdFreq="&amp;$A$6)+G47)/100,(_xll.BDP(C47,"LAST PRICE","UpdFreq="&amp;$A$6)+G47)/100)</f>
        <v>#NAME?</v>
      </c>
      <c r="F47" s="207" t="e">
        <f t="shared" ca="1" si="3"/>
        <v>#NAME?</v>
      </c>
      <c r="G47" s="174"/>
      <c r="H47" s="208">
        <f t="shared" si="5"/>
        <v>25</v>
      </c>
      <c r="I47" s="208" t="s">
        <v>30</v>
      </c>
      <c r="J47" s="209"/>
      <c r="K47" s="210" t="e">
        <f ca="1">_xll.BAddPeriods($H$4,"Per="&amp;I47,"NumberOfPeriods="&amp;H47,$J$3,$J$4)</f>
        <v>#NAME?</v>
      </c>
      <c r="L47" s="166"/>
    </row>
    <row r="48" spans="1:12">
      <c r="A48" s="297"/>
      <c r="B48" s="204" t="s">
        <v>20</v>
      </c>
      <c r="C48" s="205" t="e">
        <f t="shared" ca="1" si="6"/>
        <v>#NAME?</v>
      </c>
      <c r="D48" s="206" t="e">
        <f ca="1">IF(ISNUMBER(_xll.BDP(C48,$D$11,"UpdFreq="&amp;$A$6)),(_xll.BDP(C48,$D$11,"UpdFreq="&amp;$A$6)+G48)/100,(_xll.BDP(C48,"LAST PRICE","UpdFreq="&amp;$A$6)+G48)/100)</f>
        <v>#NAME?</v>
      </c>
      <c r="E48" s="206" t="e">
        <f ca="1">IF(ISNUMBER(_xll.BDP(C48,$E$11,"UpdFreq="&amp;$A$6)),(_xll.BDP(C48,$E$11,"UpdFreq="&amp;$A$6)+G48)/100,(_xll.BDP(C48,"LAST PRICE","UpdFreq="&amp;$A$6)+G48)/100)</f>
        <v>#NAME?</v>
      </c>
      <c r="F48" s="207" t="e">
        <f t="shared" ca="1" si="3"/>
        <v>#NAME?</v>
      </c>
      <c r="G48" s="174"/>
      <c r="H48" s="208">
        <f t="shared" si="5"/>
        <v>30</v>
      </c>
      <c r="I48" s="208" t="s">
        <v>30</v>
      </c>
      <c r="J48" s="209"/>
      <c r="K48" s="210" t="e">
        <f ca="1">_xll.BAddPeriods($H$4,"Per="&amp;I48,"NumberOfPeriods="&amp;H48,$J$3,$J$4)</f>
        <v>#NAME?</v>
      </c>
      <c r="L48" s="166"/>
    </row>
    <row r="49" spans="1:12">
      <c r="A49" s="297"/>
      <c r="B49" s="204" t="s">
        <v>21</v>
      </c>
      <c r="C49" s="205" t="e">
        <f t="shared" ca="1" si="6"/>
        <v>#NAME?</v>
      </c>
      <c r="D49" s="206" t="e">
        <f ca="1">IF(ISNUMBER(_xll.BDP(C49,$D$11,"UpdFreq="&amp;$A$6)),(_xll.BDP(C49,$D$11,"UpdFreq="&amp;$A$6)+G49)/100,(_xll.BDP(C49,"LAST PRICE","UpdFreq="&amp;$A$6)+G49)/100)</f>
        <v>#NAME?</v>
      </c>
      <c r="E49" s="206" t="e">
        <f ca="1">IF(ISNUMBER(_xll.BDP(C49,$E$11,"UpdFreq="&amp;$A$6)),(_xll.BDP(C49,$E$11,"UpdFreq="&amp;$A$6)+G49)/100,(_xll.BDP(C49,"LAST PRICE","UpdFreq="&amp;$A$6)+G49)/100)</f>
        <v>#NAME?</v>
      </c>
      <c r="F49" s="207" t="e">
        <f t="shared" ca="1" si="3"/>
        <v>#NAME?</v>
      </c>
      <c r="G49" s="174"/>
      <c r="H49" s="208">
        <f t="shared" si="5"/>
        <v>35</v>
      </c>
      <c r="I49" s="208" t="s">
        <v>30</v>
      </c>
      <c r="J49" s="209"/>
      <c r="K49" s="210" t="e">
        <f ca="1">_xll.BAddPeriods($H$4,"Per="&amp;I49,"NumberOfPeriods="&amp;H49,$J$3,$J$4)</f>
        <v>#NAME?</v>
      </c>
      <c r="L49" s="166"/>
    </row>
    <row r="50" spans="1:12">
      <c r="A50" s="297"/>
      <c r="B50" s="204" t="s">
        <v>22</v>
      </c>
      <c r="C50" s="205" t="e">
        <f t="shared" ca="1" si="6"/>
        <v>#NAME?</v>
      </c>
      <c r="D50" s="206" t="e">
        <f ca="1">IF(ISNUMBER(_xll.BDP(C50,$D$11,"UpdFreq="&amp;$A$6)),(_xll.BDP(C50,$D$11,"UpdFreq="&amp;$A$6)+G50)/100,(_xll.BDP(C50,"LAST PRICE","UpdFreq="&amp;$A$6)+G50)/100)</f>
        <v>#NAME?</v>
      </c>
      <c r="E50" s="206" t="e">
        <f ca="1">IF(ISNUMBER(_xll.BDP(C50,$E$11,"UpdFreq="&amp;$A$6)),(_xll.BDP(C50,$E$11,"UpdFreq="&amp;$A$6)+G50)/100,(_xll.BDP(C50,"LAST PRICE","UpdFreq="&amp;$A$6)+G50)/100)</f>
        <v>#NAME?</v>
      </c>
      <c r="F50" s="207" t="e">
        <f t="shared" ca="1" si="3"/>
        <v>#NAME?</v>
      </c>
      <c r="G50" s="174"/>
      <c r="H50" s="208">
        <f t="shared" si="5"/>
        <v>40</v>
      </c>
      <c r="I50" s="208" t="s">
        <v>30</v>
      </c>
      <c r="J50" s="209"/>
      <c r="K50" s="210" t="e">
        <f ca="1">_xll.BAddPeriods($H$4,"Per="&amp;I50,"NumberOfPeriods="&amp;H50,$J$3,$J$4)</f>
        <v>#NAME?</v>
      </c>
      <c r="L50" s="166"/>
    </row>
    <row r="51" spans="1:12">
      <c r="A51" s="297"/>
      <c r="B51" s="204" t="s">
        <v>23</v>
      </c>
      <c r="C51" s="205" t="e">
        <f t="shared" ca="1" si="6"/>
        <v>#NAME?</v>
      </c>
      <c r="D51" s="206" t="e">
        <f ca="1">IF(ISNUMBER(_xll.BDP(C51,$D$11,"UpdFreq="&amp;$A$6)),(_xll.BDP(C51,$D$11,"UpdFreq="&amp;$A$6)+G51)/100,(_xll.BDP(C51,"LAST PRICE","UpdFreq="&amp;$A$6)+G51)/100)</f>
        <v>#NAME?</v>
      </c>
      <c r="E51" s="206" t="e">
        <f ca="1">IF(ISNUMBER(_xll.BDP(C51,$E$11,"UpdFreq="&amp;$A$6)),(_xll.BDP(C51,$E$11,"UpdFreq="&amp;$A$6)+G51)/100,(_xll.BDP(C51,"LAST PRICE","UpdFreq="&amp;$A$6)+G51)/100)</f>
        <v>#NAME?</v>
      </c>
      <c r="F51" s="207" t="e">
        <f t="shared" ca="1" si="3"/>
        <v>#NAME?</v>
      </c>
      <c r="G51" s="174"/>
      <c r="H51" s="208">
        <f t="shared" si="5"/>
        <v>45</v>
      </c>
      <c r="I51" s="208" t="s">
        <v>30</v>
      </c>
      <c r="J51" s="209"/>
      <c r="K51" s="210" t="e">
        <f ca="1">_xll.BAddPeriods($H$4,"Per="&amp;I51,"NumberOfPeriods="&amp;H51,$J$3,$J$4)</f>
        <v>#NAME?</v>
      </c>
      <c r="L51" s="166"/>
    </row>
    <row r="52" spans="1:12">
      <c r="A52" s="298"/>
      <c r="B52" s="211" t="s">
        <v>24</v>
      </c>
      <c r="C52" s="212" t="e">
        <f t="shared" ca="1" si="6"/>
        <v>#NAME?</v>
      </c>
      <c r="D52" s="213" t="e">
        <f ca="1">IF(ISNUMBER(_xll.BDP(C52,$D$11,"UpdFreq="&amp;$A$6)),(_xll.BDP(C52,$D$11,"UpdFreq="&amp;$A$6)+G52)/100,(_xll.BDP(C52,"LAST PRICE","UpdFreq="&amp;$A$6)+G52)/100)</f>
        <v>#NAME?</v>
      </c>
      <c r="E52" s="213" t="e">
        <f ca="1">IF(ISNUMBER(_xll.BDP(C52,$E$11,"UpdFreq="&amp;$A$6)),(_xll.BDP(C52,$E$11,"UpdFreq="&amp;$A$6)+G52)/100,(_xll.BDP(C52,"LAST PRICE","UpdFreq="&amp;$A$6)+G52)/100)</f>
        <v>#NAME?</v>
      </c>
      <c r="F52" s="214" t="e">
        <f t="shared" ca="1" si="3"/>
        <v>#NAME?</v>
      </c>
      <c r="G52" s="174"/>
      <c r="H52" s="215">
        <f t="shared" si="5"/>
        <v>50</v>
      </c>
      <c r="I52" s="215" t="s">
        <v>30</v>
      </c>
      <c r="J52" s="216"/>
      <c r="K52" s="217" t="e">
        <f ca="1">_xll.BAddPeriods($H$4,"Per="&amp;I52,"NumberOfPeriods="&amp;H52,$J$3,$J$4)</f>
        <v>#NAME?</v>
      </c>
      <c r="L52" s="166"/>
    </row>
    <row r="53" spans="1:12">
      <c r="J53" s="123"/>
      <c r="L53" s="121"/>
    </row>
    <row r="54" spans="1:12">
      <c r="D54" s="218" t="s">
        <v>107</v>
      </c>
      <c r="J54" s="123"/>
      <c r="L54" s="121"/>
    </row>
    <row r="55" spans="1:12">
      <c r="A55" s="219" t="s">
        <v>104</v>
      </c>
      <c r="B55" s="220" t="s">
        <v>105</v>
      </c>
      <c r="C55" s="219" t="s">
        <v>106</v>
      </c>
      <c r="D55" s="221" t="e">
        <f ca="1">_xll.BDP(C55,"LAST_PRICE","UpdFreq="&amp;$A$6)/100</f>
        <v>#NAME?</v>
      </c>
    </row>
  </sheetData>
  <mergeCells count="6">
    <mergeCell ref="A33:A52"/>
    <mergeCell ref="B4:C4"/>
    <mergeCell ref="B6:C6"/>
    <mergeCell ref="A21:A32"/>
    <mergeCell ref="A12:A20"/>
    <mergeCell ref="B5:C5"/>
  </mergeCells>
  <phoneticPr fontId="2" type="noConversion"/>
  <dataValidations count="3">
    <dataValidation type="list" allowBlank="1" showInputMessage="1" showErrorMessage="1" sqref="D6">
      <formula1>$AF$3:$AF$6</formula1>
    </dataValidation>
    <dataValidation type="list" allowBlank="1" showInputMessage="1" showErrorMessage="1" sqref="D3">
      <formula1>$R$2:$R$3</formula1>
    </dataValidation>
    <dataValidation type="list" allowBlank="1" showInputMessage="1" showErrorMessage="1" sqref="D4:D5">
      <formula1>Contributori</formula1>
    </dataValidation>
  </dataValidations>
  <pageMargins left="0.75" right="0.75" top="1" bottom="1" header="0.5" footer="0.5"/>
  <pageSetup paperSize="9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Foglio12" enableFormatConditionsCalculation="0">
    <tabColor indexed="48"/>
    <pageSetUpPr autoPageBreaks="0"/>
  </sheetPr>
  <dimension ref="A1:AE139"/>
  <sheetViews>
    <sheetView showGridLines="0" zoomScale="80" workbookViewId="0">
      <pane ySplit="8" topLeftCell="A9" activePane="bottomLeft" state="frozenSplit"/>
      <selection activeCell="D7" sqref="D7"/>
      <selection pane="bottomLeft" activeCell="B12" sqref="B12:T58"/>
    </sheetView>
  </sheetViews>
  <sheetFormatPr defaultColWidth="0" defaultRowHeight="12.75"/>
  <cols>
    <col min="1" max="1" width="9.7109375" style="121" customWidth="1"/>
    <col min="2" max="2" width="19.7109375" style="121" customWidth="1"/>
    <col min="3" max="4" width="11.7109375" style="121" customWidth="1"/>
    <col min="5" max="5" width="2.85546875" style="121" bestFit="1" customWidth="1"/>
    <col min="6" max="6" width="12.7109375" style="121" customWidth="1"/>
    <col min="7" max="8" width="13.28515625" style="123" customWidth="1"/>
    <col min="9" max="10" width="14.7109375" style="121" customWidth="1"/>
    <col min="11" max="11" width="14.7109375" style="124" customWidth="1"/>
    <col min="12" max="12" width="10.140625" style="121" customWidth="1"/>
    <col min="13" max="13" width="9.85546875" style="121" customWidth="1"/>
    <col min="14" max="14" width="9.140625" style="121" customWidth="1"/>
    <col min="15" max="15" width="8.5703125" style="121" customWidth="1"/>
    <col min="16" max="16" width="0" style="121" hidden="1"/>
    <col min="17" max="17" width="8.140625" style="121" bestFit="1" customWidth="1"/>
    <col min="18" max="18" width="8.5703125" style="121" customWidth="1"/>
    <col min="19" max="19" width="10.28515625" style="121" customWidth="1"/>
    <col min="20" max="20" width="8.7109375" style="121" bestFit="1" customWidth="1"/>
    <col min="21" max="21" width="5.5703125" style="121" customWidth="1"/>
    <col min="22" max="22" width="7.7109375" style="121" customWidth="1"/>
    <col min="23" max="23" width="17.85546875" style="121" bestFit="1" customWidth="1"/>
    <col min="24" max="24" width="9.5703125" style="121" customWidth="1"/>
    <col min="25" max="25" width="10.28515625" style="121" customWidth="1"/>
    <col min="26" max="26" width="10.7109375" style="121" customWidth="1"/>
    <col min="27" max="27" width="0" style="121" hidden="1"/>
    <col min="28" max="28" width="13.85546875" style="121" customWidth="1"/>
    <col min="29" max="29" width="0" style="121" hidden="1"/>
    <col min="30" max="30" width="4.85546875" style="121" customWidth="1"/>
    <col min="31" max="31" width="7.28515625" style="121" customWidth="1"/>
    <col min="32" max="16384" width="0" style="121" hidden="1"/>
  </cols>
  <sheetData>
    <row r="1" spans="1:31" ht="43.5" customHeight="1">
      <c r="A1" s="127"/>
      <c r="B1" s="127"/>
      <c r="C1" s="127"/>
      <c r="D1" s="122"/>
      <c r="L1" s="125" t="s">
        <v>61</v>
      </c>
      <c r="O1" s="126"/>
      <c r="Q1" s="126"/>
      <c r="R1" s="127" t="s">
        <v>39</v>
      </c>
      <c r="S1" s="269"/>
      <c r="T1" s="269" t="s">
        <v>40</v>
      </c>
      <c r="U1" s="127"/>
      <c r="V1" s="127"/>
      <c r="W1" s="127"/>
      <c r="AA1" s="127"/>
      <c r="AB1" s="127"/>
      <c r="AE1" s="126" t="s">
        <v>73</v>
      </c>
    </row>
    <row r="2" spans="1:31" ht="13.5" customHeight="1">
      <c r="A2" s="124"/>
      <c r="B2" s="132" t="s">
        <v>175</v>
      </c>
      <c r="C2" s="238" t="s">
        <v>77</v>
      </c>
      <c r="G2" s="130"/>
      <c r="H2" s="129" t="s">
        <v>59</v>
      </c>
      <c r="I2" s="124"/>
      <c r="L2" s="125" t="s">
        <v>62</v>
      </c>
      <c r="M2" s="131"/>
      <c r="N2" s="126"/>
      <c r="O2" s="126"/>
      <c r="Q2" s="126" t="s">
        <v>77</v>
      </c>
      <c r="R2" s="127" t="s">
        <v>78</v>
      </c>
      <c r="S2" s="127"/>
      <c r="T2" s="127" t="s">
        <v>79</v>
      </c>
      <c r="U2" s="127"/>
      <c r="AA2" s="127"/>
      <c r="AB2" s="127"/>
    </row>
    <row r="3" spans="1:31" ht="12.75" customHeight="1">
      <c r="A3" s="124">
        <f>C3*1000</f>
        <v>5000</v>
      </c>
      <c r="B3" s="132" t="s">
        <v>71</v>
      </c>
      <c r="C3" s="239">
        <v>5</v>
      </c>
      <c r="D3" s="121" t="s">
        <v>72</v>
      </c>
      <c r="F3" s="219" t="s">
        <v>203</v>
      </c>
      <c r="G3" s="121"/>
      <c r="H3" s="135" t="s">
        <v>25</v>
      </c>
      <c r="I3" s="137" t="str">
        <f>C2</f>
        <v>EUR</v>
      </c>
      <c r="M3" s="131"/>
      <c r="N3" s="126"/>
      <c r="O3" s="126"/>
      <c r="Q3" s="126" t="s">
        <v>38</v>
      </c>
      <c r="R3" s="127" t="s">
        <v>4</v>
      </c>
      <c r="S3" s="127"/>
      <c r="T3" s="127" t="s">
        <v>41</v>
      </c>
      <c r="U3" s="127"/>
      <c r="AA3" s="127"/>
      <c r="AB3" s="127"/>
      <c r="AE3" s="126">
        <v>1</v>
      </c>
    </row>
    <row r="4" spans="1:31">
      <c r="A4" s="124"/>
      <c r="B4" s="132" t="s">
        <v>176</v>
      </c>
      <c r="C4" s="240">
        <f>+get_static_date()</f>
        <v>41972</v>
      </c>
      <c r="E4" s="121" t="s">
        <v>195</v>
      </c>
      <c r="F4" s="121" t="s">
        <v>196</v>
      </c>
      <c r="G4" s="121"/>
      <c r="H4" s="139" t="s">
        <v>1</v>
      </c>
      <c r="I4" s="141" t="s">
        <v>33</v>
      </c>
      <c r="M4" s="131"/>
      <c r="N4" s="126"/>
      <c r="O4" s="142"/>
      <c r="Q4" s="143" t="e">
        <f>RTD("bloomberg.ccyreader", "", "#track", "DBG", "XCLR", "1.1", 1)</f>
        <v>#N/A</v>
      </c>
      <c r="AA4" s="127"/>
      <c r="AB4" s="127"/>
      <c r="AE4" s="126">
        <v>5</v>
      </c>
    </row>
    <row r="5" spans="1:31">
      <c r="A5" s="124"/>
      <c r="B5" s="132" t="s">
        <v>177</v>
      </c>
      <c r="C5" s="237" t="str">
        <f>INDEX($T$2:$T$3,MATCH($C$2,$Q$2:$Q$3,FALSE))</f>
        <v>ER</v>
      </c>
      <c r="E5" s="121" t="s">
        <v>197</v>
      </c>
      <c r="F5" s="121" t="s">
        <v>198</v>
      </c>
      <c r="G5" s="121"/>
      <c r="H5" s="139"/>
      <c r="I5" s="145"/>
      <c r="M5" s="131"/>
      <c r="N5" s="126"/>
      <c r="AA5" s="127"/>
      <c r="AB5" s="127"/>
      <c r="AE5" s="126">
        <v>10</v>
      </c>
    </row>
    <row r="6" spans="1:31">
      <c r="B6" s="132" t="s">
        <v>178</v>
      </c>
      <c r="C6" s="235">
        <v>0.125</v>
      </c>
      <c r="E6" s="121" t="s">
        <v>199</v>
      </c>
      <c r="F6" s="121" t="s">
        <v>200</v>
      </c>
      <c r="G6" s="121"/>
      <c r="H6" s="146" t="s">
        <v>76</v>
      </c>
      <c r="I6" s="147" t="e">
        <f ca="1">_xll.BDP(I3&amp;" Curncy","CALENDAR_CODE")</f>
        <v>#NAME?</v>
      </c>
      <c r="AA6" s="127"/>
      <c r="AB6" s="127"/>
      <c r="AE6" s="126">
        <v>60</v>
      </c>
    </row>
    <row r="7" spans="1:31" ht="13.5" customHeight="1">
      <c r="A7" s="124"/>
      <c r="B7" s="132" t="s">
        <v>179</v>
      </c>
      <c r="C7" s="236" t="s">
        <v>180</v>
      </c>
      <c r="D7" s="124"/>
      <c r="E7" s="122" t="s">
        <v>201</v>
      </c>
      <c r="F7" s="121" t="s">
        <v>202</v>
      </c>
      <c r="AA7" s="127"/>
      <c r="AB7" s="127"/>
    </row>
    <row r="8" spans="1:31" ht="13.5" customHeight="1">
      <c r="A8" s="149"/>
      <c r="B8" s="150"/>
      <c r="D8" s="150"/>
      <c r="E8" s="122"/>
      <c r="AB8" s="126"/>
    </row>
    <row r="9" spans="1:31" ht="13.5" customHeight="1">
      <c r="G9" s="121"/>
      <c r="H9" s="121"/>
      <c r="K9" s="121"/>
    </row>
    <row r="10" spans="1:31" ht="13.5" customHeight="1">
      <c r="G10" s="121"/>
      <c r="H10" s="121"/>
      <c r="K10" s="121"/>
    </row>
    <row r="11" spans="1:31" ht="13.5" thickBot="1">
      <c r="G11" s="121"/>
      <c r="H11" s="121"/>
      <c r="K11" s="121"/>
    </row>
    <row r="12" spans="1:31" ht="13.5" thickBot="1">
      <c r="B12" s="241" t="s">
        <v>181</v>
      </c>
      <c r="C12" s="242" t="s">
        <v>188</v>
      </c>
      <c r="F12" s="241" t="s">
        <v>208</v>
      </c>
      <c r="G12" s="121" t="str">
        <f>+$C$5&amp;C12&amp;" "&amp;$C$7</f>
        <v>ERZ2 Comdty</v>
      </c>
      <c r="H12" s="251" t="e">
        <f t="shared" ref="H12:M12" ca="1" si="0">I12-$C$6</f>
        <v>#NAME?</v>
      </c>
      <c r="I12" s="252" t="e">
        <f t="shared" ca="1" si="0"/>
        <v>#NAME?</v>
      </c>
      <c r="J12" s="252" t="e">
        <f t="shared" ca="1" si="0"/>
        <v>#NAME?</v>
      </c>
      <c r="K12" s="252" t="e">
        <f t="shared" ca="1" si="0"/>
        <v>#NAME?</v>
      </c>
      <c r="L12" s="252" t="e">
        <f t="shared" ca="1" si="0"/>
        <v>#NAME?</v>
      </c>
      <c r="M12" s="252" t="e">
        <f t="shared" ca="1" si="0"/>
        <v>#NAME?</v>
      </c>
      <c r="N12" s="253" t="e">
        <f ca="1">ROUND($C13/($C$6),0)*$C$6</f>
        <v>#NAME?</v>
      </c>
      <c r="O12" s="252" t="e">
        <f t="shared" ref="O12:T12" ca="1" si="1">N12+$C$6</f>
        <v>#NAME?</v>
      </c>
      <c r="P12" s="252" t="e">
        <f t="shared" ca="1" si="1"/>
        <v>#NAME?</v>
      </c>
      <c r="Q12" s="252" t="e">
        <f t="shared" ca="1" si="1"/>
        <v>#NAME?</v>
      </c>
      <c r="R12" s="252" t="e">
        <f t="shared" ca="1" si="1"/>
        <v>#NAME?</v>
      </c>
      <c r="S12" s="252" t="e">
        <f t="shared" ca="1" si="1"/>
        <v>#NAME?</v>
      </c>
      <c r="T12" s="252" t="e">
        <f t="shared" ca="1" si="1"/>
        <v>#NAME?</v>
      </c>
    </row>
    <row r="13" spans="1:31">
      <c r="B13" s="243" t="s">
        <v>182</v>
      </c>
      <c r="C13" s="244" t="e">
        <f ca="1">AVERAGE(C14:C15)</f>
        <v>#NAME?</v>
      </c>
      <c r="E13" s="121" t="s">
        <v>183</v>
      </c>
      <c r="F13" s="263" t="s">
        <v>184</v>
      </c>
      <c r="G13" s="264" t="s">
        <v>56</v>
      </c>
      <c r="H13" s="254" t="str">
        <f ca="1">IF(ISNUMBER(_xll.BDP($C$5&amp;$C12&amp;$E13&amp;" "&amp;H12&amp;" "&amp;$C$7,$G13,"UpdFreq="&amp;$A$3)),_xll.BDP($C$5&amp;$C12&amp;$E13&amp;" "&amp;H12&amp;" "&amp;$C$7,$G13,"UpdFreq="&amp;$A$3),"")</f>
        <v/>
      </c>
      <c r="I13" s="255" t="str">
        <f ca="1">IF(ISNUMBER(_xll.BDP($C$5&amp;$C12&amp;$E13&amp;" "&amp;I12&amp;" "&amp;$C$7,$G13,"UpdFreq="&amp;$A$3)),_xll.BDP($C$5&amp;$C12&amp;$E13&amp;" "&amp;I12&amp;" "&amp;$C$7,$G13,"UpdFreq="&amp;$A$3),"")</f>
        <v/>
      </c>
      <c r="J13" s="255" t="str">
        <f ca="1">IF(ISNUMBER(_xll.BDP($C$5&amp;$C12&amp;$E13&amp;" "&amp;J12&amp;" "&amp;$C$7,$G13,"UpdFreq="&amp;$A$3)),_xll.BDP($C$5&amp;$C12&amp;$E13&amp;" "&amp;J12&amp;" "&amp;$C$7,$G13,"UpdFreq="&amp;$A$3),"")</f>
        <v/>
      </c>
      <c r="K13" s="255" t="str">
        <f ca="1">IF(ISNUMBER(_xll.BDP($C$5&amp;$C12&amp;$E13&amp;" "&amp;K12&amp;" "&amp;$C$7,$G13,"UpdFreq="&amp;$A$3)),_xll.BDP($C$5&amp;$C12&amp;$E13&amp;" "&amp;K12&amp;" "&amp;$C$7,$G13,"UpdFreq="&amp;$A$3),"")</f>
        <v/>
      </c>
      <c r="L13" s="255" t="str">
        <f ca="1">IF(ISNUMBER(_xll.BDP($C$5&amp;$C12&amp;$E13&amp;" "&amp;L12&amp;" "&amp;$C$7,$G13,"UpdFreq="&amp;$A$3)),_xll.BDP($C$5&amp;$C12&amp;$E13&amp;" "&amp;L12&amp;" "&amp;$C$7,$G13,"UpdFreq="&amp;$A$3),"")</f>
        <v/>
      </c>
      <c r="M13" s="255" t="str">
        <f ca="1">IF(ISNUMBER(_xll.BDP($C$5&amp;$C12&amp;$E13&amp;" "&amp;M12&amp;" "&amp;$C$7,$G13,"UpdFreq="&amp;$A$3)),_xll.BDP($C$5&amp;$C12&amp;$E13&amp;" "&amp;M12&amp;" "&amp;$C$7,$G13,"UpdFreq="&amp;$A$3),"")</f>
        <v/>
      </c>
      <c r="N13" s="255" t="str">
        <f ca="1">IF(ISNUMBER(_xll.BDP($C$5&amp;$C12&amp;$E13&amp;" "&amp;N12&amp;" "&amp;$C$7,$G13,"UpdFreq="&amp;$A$3)),_xll.BDP($C$5&amp;$C12&amp;$E13&amp;" "&amp;N12&amp;" "&amp;$C$7,$G13,"UpdFreq="&amp;$A$3),"")</f>
        <v/>
      </c>
      <c r="O13" s="255" t="str">
        <f ca="1">IF(ISNUMBER(_xll.BDP($C$5&amp;$C12&amp;$E13&amp;" "&amp;O12&amp;" "&amp;$C$7,$G13,"UpdFreq="&amp;$A$3)),_xll.BDP($C$5&amp;$C12&amp;$E13&amp;" "&amp;O12&amp;" "&amp;$C$7,$G13,"UpdFreq="&amp;$A$3),"")</f>
        <v/>
      </c>
      <c r="P13" s="255" t="str">
        <f ca="1">IF(ISNUMBER(_xll.BDP($C$5&amp;$C12&amp;$E13&amp;" "&amp;P12&amp;" "&amp;$C$7,$G13,"UpdFreq="&amp;$A$3)),_xll.BDP($C$5&amp;$C12&amp;$E13&amp;" "&amp;P12&amp;" "&amp;$C$7,$G13,"UpdFreq="&amp;$A$3),"")</f>
        <v/>
      </c>
      <c r="Q13" s="255" t="str">
        <f ca="1">IF(ISNUMBER(_xll.BDP($C$5&amp;$C12&amp;$E13&amp;" "&amp;Q12&amp;" "&amp;$C$7,$G13,"UpdFreq="&amp;$A$3)),_xll.BDP($C$5&amp;$C12&amp;$E13&amp;" "&amp;Q12&amp;" "&amp;$C$7,$G13,"UpdFreq="&amp;$A$3),"")</f>
        <v/>
      </c>
      <c r="R13" s="255" t="str">
        <f ca="1">IF(ISNUMBER(_xll.BDP($C$5&amp;$C12&amp;$E13&amp;" "&amp;R12&amp;" "&amp;$C$7,$G13,"UpdFreq="&amp;$A$3)),_xll.BDP($C$5&amp;$C12&amp;$E13&amp;" "&amp;R12&amp;" "&amp;$C$7,$G13,"UpdFreq="&amp;$A$3),"")</f>
        <v/>
      </c>
      <c r="S13" s="255" t="str">
        <f ca="1">IF(ISNUMBER(_xll.BDP($C$5&amp;$C12&amp;$E13&amp;" "&amp;S12&amp;" "&amp;$C$7,$G13,"UpdFreq="&amp;$A$3)),_xll.BDP($C$5&amp;$C12&amp;$E13&amp;" "&amp;S12&amp;" "&amp;$C$7,$G13,"UpdFreq="&amp;$A$3),"")</f>
        <v/>
      </c>
      <c r="T13" s="256" t="str">
        <f ca="1">IF(ISNUMBER(_xll.BDP($C$5&amp;$C12&amp;$E13&amp;" "&amp;T12&amp;" "&amp;$C$7,$G13,"UpdFreq="&amp;$A$3)),_xll.BDP($C$5&amp;$C12&amp;$E13&amp;" "&amp;T12&amp;" "&amp;$C$7,$G13,"UpdFreq="&amp;$A$3),"")</f>
        <v/>
      </c>
    </row>
    <row r="14" spans="1:31" ht="12.75" customHeight="1">
      <c r="B14" s="245" t="s">
        <v>57</v>
      </c>
      <c r="C14" s="246" t="e">
        <f ca="1">_xll.BDP($C$5&amp;C12&amp;" "&amp;$C$7, G15)</f>
        <v>#NAME?</v>
      </c>
      <c r="F14" s="265"/>
      <c r="G14" s="266" t="s">
        <v>57</v>
      </c>
      <c r="H14" s="257" t="str">
        <f ca="1">IF(ISNUMBER(_xll.BDP($C$5&amp;$C12&amp;$E13&amp;" "&amp;H12&amp;" "&amp;$C$7,$G14,"UpdFreq="&amp;$A$3)),_xll.BDP($C$5&amp;$C12&amp;$E13&amp;" "&amp;H12&amp;" "&amp;$C$7,$G14,"UpdFreq="&amp;$A$3),"")</f>
        <v/>
      </c>
      <c r="I14" s="258" t="str">
        <f ca="1">IF(ISNUMBER(_xll.BDP($C$5&amp;$C12&amp;$E13&amp;" "&amp;I12&amp;" "&amp;$C$7,$G14,"UpdFreq="&amp;$A$3)),_xll.BDP($C$5&amp;$C12&amp;$E13&amp;" "&amp;I12&amp;" "&amp;$C$7,$G14,"UpdFreq="&amp;$A$3),"")</f>
        <v/>
      </c>
      <c r="J14" s="258" t="str">
        <f ca="1">IF(ISNUMBER(_xll.BDP($C$5&amp;$C12&amp;$E13&amp;" "&amp;J12&amp;" "&amp;$C$7,$G14,"UpdFreq="&amp;$A$3)),_xll.BDP($C$5&amp;$C12&amp;$E13&amp;" "&amp;J12&amp;" "&amp;$C$7,$G14,"UpdFreq="&amp;$A$3),"")</f>
        <v/>
      </c>
      <c r="K14" s="258" t="str">
        <f ca="1">IF(ISNUMBER(_xll.BDP($C$5&amp;$C12&amp;$E13&amp;" "&amp;K12&amp;" "&amp;$C$7,$G14,"UpdFreq="&amp;$A$3)),_xll.BDP($C$5&amp;$C12&amp;$E13&amp;" "&amp;K12&amp;" "&amp;$C$7,$G14,"UpdFreq="&amp;$A$3),"")</f>
        <v/>
      </c>
      <c r="L14" s="258" t="str">
        <f ca="1">IF(ISNUMBER(_xll.BDP($C$5&amp;$C12&amp;$E13&amp;" "&amp;L12&amp;" "&amp;$C$7,$G14,"UpdFreq="&amp;$A$3)),_xll.BDP($C$5&amp;$C12&amp;$E13&amp;" "&amp;L12&amp;" "&amp;$C$7,$G14,"UpdFreq="&amp;$A$3),"")</f>
        <v/>
      </c>
      <c r="M14" s="258" t="str">
        <f ca="1">IF(ISNUMBER(_xll.BDP($C$5&amp;$C12&amp;$E13&amp;" "&amp;M12&amp;" "&amp;$C$7,$G14,"UpdFreq="&amp;$A$3)),_xll.BDP($C$5&amp;$C12&amp;$E13&amp;" "&amp;M12&amp;" "&amp;$C$7,$G14,"UpdFreq="&amp;$A$3),"")</f>
        <v/>
      </c>
      <c r="N14" s="258" t="str">
        <f ca="1">IF(ISNUMBER(_xll.BDP($C$5&amp;$C12&amp;$E13&amp;" "&amp;N12&amp;" "&amp;$C$7,$G14,"UpdFreq="&amp;$A$3)),_xll.BDP($C$5&amp;$C12&amp;$E13&amp;" "&amp;N12&amp;" "&amp;$C$7,$G14,"UpdFreq="&amp;$A$3),"")</f>
        <v/>
      </c>
      <c r="O14" s="258" t="str">
        <f ca="1">IF(ISNUMBER(_xll.BDP($C$5&amp;$C12&amp;$E13&amp;" "&amp;O12&amp;" "&amp;$C$7,$G14,"UpdFreq="&amp;$A$3)),_xll.BDP($C$5&amp;$C12&amp;$E13&amp;" "&amp;O12&amp;" "&amp;$C$7,$G14,"UpdFreq="&amp;$A$3),"")</f>
        <v/>
      </c>
      <c r="P14" s="258" t="str">
        <f ca="1">IF(ISNUMBER(_xll.BDP($C$5&amp;$C12&amp;$E13&amp;" "&amp;P12&amp;" "&amp;$C$7,$G14,"UpdFreq="&amp;$A$3)),_xll.BDP($C$5&amp;$C12&amp;$E13&amp;" "&amp;P12&amp;" "&amp;$C$7,$G14,"UpdFreq="&amp;$A$3),"")</f>
        <v/>
      </c>
      <c r="Q14" s="258" t="str">
        <f ca="1">IF(ISNUMBER(_xll.BDP($C$5&amp;$C12&amp;$E13&amp;" "&amp;Q12&amp;" "&amp;$C$7,$G14,"UpdFreq="&amp;$A$3)),_xll.BDP($C$5&amp;$C12&amp;$E13&amp;" "&amp;Q12&amp;" "&amp;$C$7,$G14,"UpdFreq="&amp;$A$3),"")</f>
        <v/>
      </c>
      <c r="R14" s="258" t="str">
        <f ca="1">IF(ISNUMBER(_xll.BDP($C$5&amp;$C12&amp;$E13&amp;" "&amp;R12&amp;" "&amp;$C$7,$G14,"UpdFreq="&amp;$A$3)),_xll.BDP($C$5&amp;$C12&amp;$E13&amp;" "&amp;R12&amp;" "&amp;$C$7,$G14,"UpdFreq="&amp;$A$3),"")</f>
        <v/>
      </c>
      <c r="S14" s="258" t="str">
        <f ca="1">IF(ISNUMBER(_xll.BDP($C$5&amp;$C12&amp;$E13&amp;" "&amp;S12&amp;" "&amp;$C$7,$G14,"UpdFreq="&amp;$A$3)),_xll.BDP($C$5&amp;$C12&amp;$E13&amp;" "&amp;S12&amp;" "&amp;$C$7,$G14,"UpdFreq="&amp;$A$3),"")</f>
        <v/>
      </c>
      <c r="T14" s="259" t="str">
        <f ca="1">IF(ISNUMBER(_xll.BDP($C$5&amp;$C12&amp;$E13&amp;" "&amp;T12&amp;" "&amp;$C$7,$G14,"UpdFreq="&amp;$A$3)),_xll.BDP($C$5&amp;$C12&amp;$E13&amp;" "&amp;T12&amp;" "&amp;$C$7,$G14,"UpdFreq="&amp;$A$3),"")</f>
        <v/>
      </c>
    </row>
    <row r="15" spans="1:31">
      <c r="B15" s="247" t="s">
        <v>56</v>
      </c>
      <c r="C15" s="248" t="e">
        <f ca="1">_xll.BDP($C$5&amp;C12&amp;" "&amp;$C$7, G16)</f>
        <v>#NAME?</v>
      </c>
      <c r="E15" s="121" t="s">
        <v>185</v>
      </c>
      <c r="F15" s="265" t="s">
        <v>186</v>
      </c>
      <c r="G15" s="266" t="s">
        <v>56</v>
      </c>
      <c r="H15" s="257" t="str">
        <f ca="1">IF(ISNUMBER(_xll.BDP($C$5&amp;$C12&amp;$E15&amp;" "&amp;H12&amp;" "&amp;$C$7,$G15,"UpdFreq="&amp;$A$3)),_xll.BDP($C$5&amp;$C12&amp;$E15&amp;" "&amp;H12&amp;" "&amp;$C$7,$G15,"UpdFreq="&amp;$A$3),"")</f>
        <v/>
      </c>
      <c r="I15" s="258" t="str">
        <f ca="1">IF(ISNUMBER(_xll.BDP($C$5&amp;$C12&amp;$E15&amp;" "&amp;I12&amp;" "&amp;$C$7,$G15,"UpdFreq="&amp;$A$3)),_xll.BDP($C$5&amp;$C12&amp;$E15&amp;" "&amp;I12&amp;" "&amp;$C$7,$G15,"UpdFreq="&amp;$A$3),"")</f>
        <v/>
      </c>
      <c r="J15" s="258" t="str">
        <f ca="1">IF(ISNUMBER(_xll.BDP($C$5&amp;$C12&amp;$E15&amp;" "&amp;J12&amp;" "&amp;$C$7,$G15,"UpdFreq="&amp;$A$3)),_xll.BDP($C$5&amp;$C12&amp;$E15&amp;" "&amp;J12&amp;" "&amp;$C$7,$G15,"UpdFreq="&amp;$A$3),"")</f>
        <v/>
      </c>
      <c r="K15" s="258" t="str">
        <f ca="1">IF(ISNUMBER(_xll.BDP($C$5&amp;$C12&amp;$E15&amp;" "&amp;K12&amp;" "&amp;$C$7,$G15,"UpdFreq="&amp;$A$3)),_xll.BDP($C$5&amp;$C12&amp;$E15&amp;" "&amp;K12&amp;" "&amp;$C$7,$G15,"UpdFreq="&amp;$A$3),"")</f>
        <v/>
      </c>
      <c r="L15" s="258" t="str">
        <f ca="1">IF(ISNUMBER(_xll.BDP($C$5&amp;$C12&amp;$E15&amp;" "&amp;L12&amp;" "&amp;$C$7,$G15,"UpdFreq="&amp;$A$3)),_xll.BDP($C$5&amp;$C12&amp;$E15&amp;" "&amp;L12&amp;" "&amp;$C$7,$G15,"UpdFreq="&amp;$A$3),"")</f>
        <v/>
      </c>
      <c r="M15" s="258" t="str">
        <f ca="1">IF(ISNUMBER(_xll.BDP($C$5&amp;$C12&amp;$E15&amp;" "&amp;M12&amp;" "&amp;$C$7,$G15,"UpdFreq="&amp;$A$3)),_xll.BDP($C$5&amp;$C12&amp;$E15&amp;" "&amp;M12&amp;" "&amp;$C$7,$G15,"UpdFreq="&amp;$A$3),"")</f>
        <v/>
      </c>
      <c r="N15" s="258" t="str">
        <f ca="1">IF(ISNUMBER(_xll.BDP($C$5&amp;$C12&amp;$E15&amp;" "&amp;N12&amp;" "&amp;$C$7,$G15,"UpdFreq="&amp;$A$3)),_xll.BDP($C$5&amp;$C12&amp;$E15&amp;" "&amp;N12&amp;" "&amp;$C$7,$G15,"UpdFreq="&amp;$A$3),"")</f>
        <v/>
      </c>
      <c r="O15" s="258" t="str">
        <f ca="1">IF(ISNUMBER(_xll.BDP($C$5&amp;$C12&amp;$E15&amp;" "&amp;O12&amp;" "&amp;$C$7,$G15,"UpdFreq="&amp;$A$3)),_xll.BDP($C$5&amp;$C12&amp;$E15&amp;" "&amp;O12&amp;" "&amp;$C$7,$G15,"UpdFreq="&amp;$A$3),"")</f>
        <v/>
      </c>
      <c r="P15" s="258" t="str">
        <f ca="1">IF(ISNUMBER(_xll.BDP($C$5&amp;$C12&amp;$E15&amp;" "&amp;P12&amp;" "&amp;$C$7,$G15,"UpdFreq="&amp;$A$3)),_xll.BDP($C$5&amp;$C12&amp;$E15&amp;" "&amp;P12&amp;" "&amp;$C$7,$G15,"UpdFreq="&amp;$A$3),"")</f>
        <v/>
      </c>
      <c r="Q15" s="258" t="str">
        <f ca="1">IF(ISNUMBER(_xll.BDP($C$5&amp;$C12&amp;$E15&amp;" "&amp;Q12&amp;" "&amp;$C$7,$G15,"UpdFreq="&amp;$A$3)),_xll.BDP($C$5&amp;$C12&amp;$E15&amp;" "&amp;Q12&amp;" "&amp;$C$7,$G15,"UpdFreq="&amp;$A$3),"")</f>
        <v/>
      </c>
      <c r="R15" s="258" t="str">
        <f ca="1">IF(ISNUMBER(_xll.BDP($C$5&amp;$C12&amp;$E15&amp;" "&amp;R12&amp;" "&amp;$C$7,$G15,"UpdFreq="&amp;$A$3)),_xll.BDP($C$5&amp;$C12&amp;$E15&amp;" "&amp;R12&amp;" "&amp;$C$7,$G15,"UpdFreq="&amp;$A$3),"")</f>
        <v/>
      </c>
      <c r="S15" s="258" t="str">
        <f ca="1">IF(ISNUMBER(_xll.BDP($C$5&amp;$C12&amp;$E15&amp;" "&amp;S12&amp;" "&amp;$C$7,$G15,"UpdFreq="&amp;$A$3)),_xll.BDP($C$5&amp;$C12&amp;$E15&amp;" "&amp;S12&amp;" "&amp;$C$7,$G15,"UpdFreq="&amp;$A$3),"")</f>
        <v/>
      </c>
      <c r="T15" s="259" t="str">
        <f ca="1">IF(ISNUMBER(_xll.BDP($C$5&amp;$C12&amp;$E15&amp;" "&amp;T12&amp;" "&amp;$C$7,$G15,"UpdFreq="&amp;$A$3)),_xll.BDP($C$5&amp;$C12&amp;$E15&amp;" "&amp;T12&amp;" "&amp;$C$7,$G15,"UpdFreq="&amp;$A$3),"")</f>
        <v/>
      </c>
    </row>
    <row r="16" spans="1:31" ht="13.5" thickBot="1">
      <c r="B16" s="249" t="s">
        <v>187</v>
      </c>
      <c r="C16" s="250" t="e">
        <f ca="1">IF(ISNUMBER($N13),_xll.BDP($C$5&amp;$C12&amp;$E13&amp;" "&amp;N12&amp;" "&amp;$C$7,"OPT_EXPIRE_DT"),_xll.BDP($C$5&amp;$C12&amp;$E13&amp;" "&amp;M12&amp;" "&amp;$C$7,"OPT_EXPIRE_DT"))</f>
        <v>#NAME?</v>
      </c>
      <c r="F16" s="267"/>
      <c r="G16" s="268" t="s">
        <v>57</v>
      </c>
      <c r="H16" s="260" t="str">
        <f ca="1">IF(ISNUMBER(_xll.BDP($C$5&amp;$C12&amp;$E15&amp;" "&amp;H12&amp;" "&amp;$C$7,$G16,"UpdFreq="&amp;$A$3)),_xll.BDP($C$5&amp;$C12&amp;$E15&amp;" "&amp;H12&amp;" "&amp;$C$7,$G16,"UpdFreq="&amp;$A$3),"")</f>
        <v/>
      </c>
      <c r="I16" s="261" t="str">
        <f ca="1">IF(ISNUMBER(_xll.BDP($C$5&amp;$C12&amp;$E15&amp;" "&amp;I12&amp;" "&amp;$C$7,$G16,"UpdFreq="&amp;$A$3)),_xll.BDP($C$5&amp;$C12&amp;$E15&amp;" "&amp;I12&amp;" "&amp;$C$7,$G16,"UpdFreq="&amp;$A$3),"")</f>
        <v/>
      </c>
      <c r="J16" s="261" t="str">
        <f ca="1">IF(ISNUMBER(_xll.BDP($C$5&amp;$C12&amp;$E15&amp;" "&amp;J12&amp;" "&amp;$C$7,$G16,"UpdFreq="&amp;$A$3)),_xll.BDP($C$5&amp;$C12&amp;$E15&amp;" "&amp;J12&amp;" "&amp;$C$7,$G16,"UpdFreq="&amp;$A$3),"")</f>
        <v/>
      </c>
      <c r="K16" s="261" t="str">
        <f ca="1">IF(ISNUMBER(_xll.BDP($C$5&amp;$C12&amp;$E15&amp;" "&amp;K12&amp;" "&amp;$C$7,$G16,"UpdFreq="&amp;$A$3)),_xll.BDP($C$5&amp;$C12&amp;$E15&amp;" "&amp;K12&amp;" "&amp;$C$7,$G16,"UpdFreq="&amp;$A$3),"")</f>
        <v/>
      </c>
      <c r="L16" s="261" t="str">
        <f ca="1">IF(ISNUMBER(_xll.BDP($C$5&amp;$C12&amp;$E15&amp;" "&amp;L12&amp;" "&amp;$C$7,$G16,"UpdFreq="&amp;$A$3)),_xll.BDP($C$5&amp;$C12&amp;$E15&amp;" "&amp;L12&amp;" "&amp;$C$7,$G16,"UpdFreq="&amp;$A$3),"")</f>
        <v/>
      </c>
      <c r="M16" s="261" t="str">
        <f ca="1">IF(ISNUMBER(_xll.BDP($C$5&amp;$C12&amp;$E15&amp;" "&amp;M12&amp;" "&amp;$C$7,$G16,"UpdFreq="&amp;$A$3)),_xll.BDP($C$5&amp;$C12&amp;$E15&amp;" "&amp;M12&amp;" "&amp;$C$7,$G16,"UpdFreq="&amp;$A$3),"")</f>
        <v/>
      </c>
      <c r="N16" s="261" t="str">
        <f ca="1">IF(ISNUMBER(_xll.BDP($C$5&amp;$C12&amp;$E15&amp;" "&amp;N12&amp;" "&amp;$C$7,$G16,"UpdFreq="&amp;$A$3)),_xll.BDP($C$5&amp;$C12&amp;$E15&amp;" "&amp;N12&amp;" "&amp;$C$7,$G16,"UpdFreq="&amp;$A$3),"")</f>
        <v/>
      </c>
      <c r="O16" s="261" t="str">
        <f ca="1">IF(ISNUMBER(_xll.BDP($C$5&amp;$C12&amp;$E15&amp;" "&amp;O12&amp;" "&amp;$C$7,$G16,"UpdFreq="&amp;$A$3)),_xll.BDP($C$5&amp;$C12&amp;$E15&amp;" "&amp;O12&amp;" "&amp;$C$7,$G16,"UpdFreq="&amp;$A$3),"")</f>
        <v/>
      </c>
      <c r="P16" s="261" t="str">
        <f ca="1">IF(ISNUMBER(_xll.BDP($C$5&amp;$C12&amp;$E15&amp;" "&amp;P12&amp;" "&amp;$C$7,$G16,"UpdFreq="&amp;$A$3)),_xll.BDP($C$5&amp;$C12&amp;$E15&amp;" "&amp;P12&amp;" "&amp;$C$7,$G16,"UpdFreq="&amp;$A$3),"")</f>
        <v/>
      </c>
      <c r="Q16" s="261" t="str">
        <f ca="1">IF(ISNUMBER(_xll.BDP($C$5&amp;$C12&amp;$E15&amp;" "&amp;Q12&amp;" "&amp;$C$7,$G16,"UpdFreq="&amp;$A$3)),_xll.BDP($C$5&amp;$C12&amp;$E15&amp;" "&amp;Q12&amp;" "&amp;$C$7,$G16,"UpdFreq="&amp;$A$3),"")</f>
        <v/>
      </c>
      <c r="R16" s="261" t="str">
        <f ca="1">IF(ISNUMBER(_xll.BDP($C$5&amp;$C12&amp;$E15&amp;" "&amp;R12&amp;" "&amp;$C$7,$G16,"UpdFreq="&amp;$A$3)),_xll.BDP($C$5&amp;$C12&amp;$E15&amp;" "&amp;R12&amp;" "&amp;$C$7,$G16,"UpdFreq="&amp;$A$3),"")</f>
        <v/>
      </c>
      <c r="S16" s="261" t="str">
        <f ca="1">IF(ISNUMBER(_xll.BDP($C$5&amp;$C12&amp;$E15&amp;" "&amp;S12&amp;" "&amp;$C$7,$G16,"UpdFreq="&amp;$A$3)),_xll.BDP($C$5&amp;$C12&amp;$E15&amp;" "&amp;S12&amp;" "&amp;$C$7,$G16,"UpdFreq="&amp;$A$3),"")</f>
        <v/>
      </c>
      <c r="T16" s="262" t="str">
        <f ca="1">IF(ISNUMBER(_xll.BDP($C$5&amp;$C12&amp;$E15&amp;" "&amp;T12&amp;" "&amp;$C$7,$G16,"UpdFreq="&amp;$A$3)),_xll.BDP($C$5&amp;$C12&amp;$E15&amp;" "&amp;T12&amp;" "&amp;$C$7,$G16,"UpdFreq="&amp;$A$3),"")</f>
        <v/>
      </c>
    </row>
    <row r="17" spans="2:20" ht="13.5" thickBot="1">
      <c r="C17" s="219"/>
      <c r="G17" s="121"/>
      <c r="H17" s="121"/>
      <c r="K17" s="121"/>
    </row>
    <row r="18" spans="2:20" ht="13.5" thickBot="1">
      <c r="B18" s="241" t="s">
        <v>181</v>
      </c>
      <c r="C18" s="242" t="s">
        <v>189</v>
      </c>
      <c r="F18" s="241" t="s">
        <v>208</v>
      </c>
      <c r="G18" s="121" t="str">
        <f>+$C$5&amp;C18&amp;" "&amp;$C$7</f>
        <v>ERH3 Comdty</v>
      </c>
      <c r="H18" s="251" t="e">
        <f t="shared" ref="H18:M18" ca="1" si="2">I18-$C$6</f>
        <v>#NAME?</v>
      </c>
      <c r="I18" s="252" t="e">
        <f t="shared" ca="1" si="2"/>
        <v>#NAME?</v>
      </c>
      <c r="J18" s="252" t="e">
        <f t="shared" ca="1" si="2"/>
        <v>#NAME?</v>
      </c>
      <c r="K18" s="252" t="e">
        <f t="shared" ca="1" si="2"/>
        <v>#NAME?</v>
      </c>
      <c r="L18" s="252" t="e">
        <f t="shared" ca="1" si="2"/>
        <v>#NAME?</v>
      </c>
      <c r="M18" s="252" t="e">
        <f t="shared" ca="1" si="2"/>
        <v>#NAME?</v>
      </c>
      <c r="N18" s="253" t="e">
        <f ca="1">ROUND($C19/($C$6),0)*$C$6</f>
        <v>#NAME?</v>
      </c>
      <c r="O18" s="252" t="e">
        <f t="shared" ref="O18:T18" ca="1" si="3">N18+$C$6</f>
        <v>#NAME?</v>
      </c>
      <c r="P18" s="252" t="e">
        <f t="shared" ca="1" si="3"/>
        <v>#NAME?</v>
      </c>
      <c r="Q18" s="252" t="e">
        <f t="shared" ca="1" si="3"/>
        <v>#NAME?</v>
      </c>
      <c r="R18" s="252" t="e">
        <f t="shared" ca="1" si="3"/>
        <v>#NAME?</v>
      </c>
      <c r="S18" s="252" t="e">
        <f t="shared" ca="1" si="3"/>
        <v>#NAME?</v>
      </c>
      <c r="T18" s="252" t="e">
        <f t="shared" ca="1" si="3"/>
        <v>#NAME?</v>
      </c>
    </row>
    <row r="19" spans="2:20">
      <c r="B19" s="243" t="s">
        <v>182</v>
      </c>
      <c r="C19" s="244" t="e">
        <f ca="1">AVERAGE(C20:C21)</f>
        <v>#NAME?</v>
      </c>
      <c r="E19" s="121" t="s">
        <v>183</v>
      </c>
      <c r="F19" s="263" t="s">
        <v>184</v>
      </c>
      <c r="G19" s="264" t="s">
        <v>56</v>
      </c>
      <c r="H19" s="254" t="str">
        <f ca="1">IF(ISNUMBER(_xll.BDP($C$5&amp;$C18&amp;$E19&amp;" "&amp;H18&amp;" "&amp;$C$7,$G19,"UpdFreq="&amp;$A$3)),_xll.BDP($C$5&amp;$C18&amp;$E19&amp;" "&amp;H18&amp;" "&amp;$C$7,$G19,"UpdFreq="&amp;$A$3),"")</f>
        <v/>
      </c>
      <c r="I19" s="255" t="str">
        <f ca="1">IF(ISNUMBER(_xll.BDP($C$5&amp;$C18&amp;$E19&amp;" "&amp;I18&amp;" "&amp;$C$7,$G19,"UpdFreq="&amp;$A$3)),_xll.BDP($C$5&amp;$C18&amp;$E19&amp;" "&amp;I18&amp;" "&amp;$C$7,$G19,"UpdFreq="&amp;$A$3),"")</f>
        <v/>
      </c>
      <c r="J19" s="255" t="str">
        <f ca="1">IF(ISNUMBER(_xll.BDP($C$5&amp;$C18&amp;$E19&amp;" "&amp;J18&amp;" "&amp;$C$7,$G19,"UpdFreq="&amp;$A$3)),_xll.BDP($C$5&amp;$C18&amp;$E19&amp;" "&amp;J18&amp;" "&amp;$C$7,$G19,"UpdFreq="&amp;$A$3),"")</f>
        <v/>
      </c>
      <c r="K19" s="255" t="str">
        <f ca="1">IF(ISNUMBER(_xll.BDP($C$5&amp;$C18&amp;$E19&amp;" "&amp;K18&amp;" "&amp;$C$7,$G19,"UpdFreq="&amp;$A$3)),_xll.BDP($C$5&amp;$C18&amp;$E19&amp;" "&amp;K18&amp;" "&amp;$C$7,$G19,"UpdFreq="&amp;$A$3),"")</f>
        <v/>
      </c>
      <c r="L19" s="255" t="str">
        <f ca="1">IF(ISNUMBER(_xll.BDP($C$5&amp;$C18&amp;$E19&amp;" "&amp;L18&amp;" "&amp;$C$7,$G19,"UpdFreq="&amp;$A$3)),_xll.BDP($C$5&amp;$C18&amp;$E19&amp;" "&amp;L18&amp;" "&amp;$C$7,$G19,"UpdFreq="&amp;$A$3),"")</f>
        <v/>
      </c>
      <c r="M19" s="255" t="str">
        <f ca="1">IF(ISNUMBER(_xll.BDP($C$5&amp;$C18&amp;$E19&amp;" "&amp;M18&amp;" "&amp;$C$7,$G19,"UpdFreq="&amp;$A$3)),_xll.BDP($C$5&amp;$C18&amp;$E19&amp;" "&amp;M18&amp;" "&amp;$C$7,$G19,"UpdFreq="&amp;$A$3),"")</f>
        <v/>
      </c>
      <c r="N19" s="255" t="str">
        <f ca="1">IF(ISNUMBER(_xll.BDP($C$5&amp;$C18&amp;$E19&amp;" "&amp;N18&amp;" "&amp;$C$7,$G19,"UpdFreq="&amp;$A$3)),_xll.BDP($C$5&amp;$C18&amp;$E19&amp;" "&amp;N18&amp;" "&amp;$C$7,$G19,"UpdFreq="&amp;$A$3),"")</f>
        <v/>
      </c>
      <c r="O19" s="255" t="str">
        <f ca="1">IF(ISNUMBER(_xll.BDP($C$5&amp;$C18&amp;$E19&amp;" "&amp;O18&amp;" "&amp;$C$7,$G19,"UpdFreq="&amp;$A$3)),_xll.BDP($C$5&amp;$C18&amp;$E19&amp;" "&amp;O18&amp;" "&amp;$C$7,$G19,"UpdFreq="&amp;$A$3),"")</f>
        <v/>
      </c>
      <c r="P19" s="255" t="str">
        <f ca="1">IF(ISNUMBER(_xll.BDP($C$5&amp;$C18&amp;$E19&amp;" "&amp;P18&amp;" "&amp;$C$7,$G19,"UpdFreq="&amp;$A$3)),_xll.BDP($C$5&amp;$C18&amp;$E19&amp;" "&amp;P18&amp;" "&amp;$C$7,$G19,"UpdFreq="&amp;$A$3),"")</f>
        <v/>
      </c>
      <c r="Q19" s="255" t="str">
        <f ca="1">IF(ISNUMBER(_xll.BDP($C$5&amp;$C18&amp;$E19&amp;" "&amp;Q18&amp;" "&amp;$C$7,$G19,"UpdFreq="&amp;$A$3)),_xll.BDP($C$5&amp;$C18&amp;$E19&amp;" "&amp;Q18&amp;" "&amp;$C$7,$G19,"UpdFreq="&amp;$A$3),"")</f>
        <v/>
      </c>
      <c r="R19" s="255" t="str">
        <f ca="1">IF(ISNUMBER(_xll.BDP($C$5&amp;$C18&amp;$E19&amp;" "&amp;R18&amp;" "&amp;$C$7,$G19,"UpdFreq="&amp;$A$3)),_xll.BDP($C$5&amp;$C18&amp;$E19&amp;" "&amp;R18&amp;" "&amp;$C$7,$G19,"UpdFreq="&amp;$A$3),"")</f>
        <v/>
      </c>
      <c r="S19" s="255" t="str">
        <f ca="1">IF(ISNUMBER(_xll.BDP($C$5&amp;$C18&amp;$E19&amp;" "&amp;S18&amp;" "&amp;$C$7,$G19,"UpdFreq="&amp;$A$3)),_xll.BDP($C$5&amp;$C18&amp;$E19&amp;" "&amp;S18&amp;" "&amp;$C$7,$G19,"UpdFreq="&amp;$A$3),"")</f>
        <v/>
      </c>
      <c r="T19" s="256" t="str">
        <f ca="1">IF(ISNUMBER(_xll.BDP($C$5&amp;$C18&amp;$E19&amp;" "&amp;T18&amp;" "&amp;$C$7,$G19,"UpdFreq="&amp;$A$3)),_xll.BDP($C$5&amp;$C18&amp;$E19&amp;" "&amp;T18&amp;" "&amp;$C$7,$G19,"UpdFreq="&amp;$A$3),"")</f>
        <v/>
      </c>
    </row>
    <row r="20" spans="2:20">
      <c r="B20" s="245" t="s">
        <v>57</v>
      </c>
      <c r="C20" s="246" t="e">
        <f ca="1">_xll.BDP($C$5&amp;C18&amp;" "&amp;$C$7, G21)</f>
        <v>#NAME?</v>
      </c>
      <c r="F20" s="265"/>
      <c r="G20" s="266" t="s">
        <v>57</v>
      </c>
      <c r="H20" s="257" t="str">
        <f ca="1">IF(ISNUMBER(_xll.BDP($C$5&amp;$C18&amp;$E19&amp;" "&amp;H18&amp;" "&amp;$C$7,$G20,"UpdFreq="&amp;$A$3)),_xll.BDP($C$5&amp;$C18&amp;$E19&amp;" "&amp;H18&amp;" "&amp;$C$7,$G20,"UpdFreq="&amp;$A$3),"")</f>
        <v/>
      </c>
      <c r="I20" s="258" t="str">
        <f ca="1">IF(ISNUMBER(_xll.BDP($C$5&amp;$C18&amp;$E19&amp;" "&amp;I18&amp;" "&amp;$C$7,$G20,"UpdFreq="&amp;$A$3)),_xll.BDP($C$5&amp;$C18&amp;$E19&amp;" "&amp;I18&amp;" "&amp;$C$7,$G20,"UpdFreq="&amp;$A$3),"")</f>
        <v/>
      </c>
      <c r="J20" s="258" t="str">
        <f ca="1">IF(ISNUMBER(_xll.BDP($C$5&amp;$C18&amp;$E19&amp;" "&amp;J18&amp;" "&amp;$C$7,$G20,"UpdFreq="&amp;$A$3)),_xll.BDP($C$5&amp;$C18&amp;$E19&amp;" "&amp;J18&amp;" "&amp;$C$7,$G20,"UpdFreq="&amp;$A$3),"")</f>
        <v/>
      </c>
      <c r="K20" s="258" t="str">
        <f ca="1">IF(ISNUMBER(_xll.BDP($C$5&amp;$C18&amp;$E19&amp;" "&amp;K18&amp;" "&amp;$C$7,$G20,"UpdFreq="&amp;$A$3)),_xll.BDP($C$5&amp;$C18&amp;$E19&amp;" "&amp;K18&amp;" "&amp;$C$7,$G20,"UpdFreq="&amp;$A$3),"")</f>
        <v/>
      </c>
      <c r="L20" s="258" t="str">
        <f ca="1">IF(ISNUMBER(_xll.BDP($C$5&amp;$C18&amp;$E19&amp;" "&amp;L18&amp;" "&amp;$C$7,$G20,"UpdFreq="&amp;$A$3)),_xll.BDP($C$5&amp;$C18&amp;$E19&amp;" "&amp;L18&amp;" "&amp;$C$7,$G20,"UpdFreq="&amp;$A$3),"")</f>
        <v/>
      </c>
      <c r="M20" s="258" t="str">
        <f ca="1">IF(ISNUMBER(_xll.BDP($C$5&amp;$C18&amp;$E19&amp;" "&amp;M18&amp;" "&amp;$C$7,$G20,"UpdFreq="&amp;$A$3)),_xll.BDP($C$5&amp;$C18&amp;$E19&amp;" "&amp;M18&amp;" "&amp;$C$7,$G20,"UpdFreq="&amp;$A$3),"")</f>
        <v/>
      </c>
      <c r="N20" s="258" t="str">
        <f ca="1">IF(ISNUMBER(_xll.BDP($C$5&amp;$C18&amp;$E19&amp;" "&amp;N18&amp;" "&amp;$C$7,$G20,"UpdFreq="&amp;$A$3)),_xll.BDP($C$5&amp;$C18&amp;$E19&amp;" "&amp;N18&amp;" "&amp;$C$7,$G20,"UpdFreq="&amp;$A$3),"")</f>
        <v/>
      </c>
      <c r="O20" s="258" t="str">
        <f ca="1">IF(ISNUMBER(_xll.BDP($C$5&amp;$C18&amp;$E19&amp;" "&amp;O18&amp;" "&amp;$C$7,$G20,"UpdFreq="&amp;$A$3)),_xll.BDP($C$5&amp;$C18&amp;$E19&amp;" "&amp;O18&amp;" "&amp;$C$7,$G20,"UpdFreq="&amp;$A$3),"")</f>
        <v/>
      </c>
      <c r="P20" s="258" t="str">
        <f ca="1">IF(ISNUMBER(_xll.BDP($C$5&amp;$C18&amp;$E19&amp;" "&amp;P18&amp;" "&amp;$C$7,$G20,"UpdFreq="&amp;$A$3)),_xll.BDP($C$5&amp;$C18&amp;$E19&amp;" "&amp;P18&amp;" "&amp;$C$7,$G20,"UpdFreq="&amp;$A$3),"")</f>
        <v/>
      </c>
      <c r="Q20" s="258" t="str">
        <f ca="1">IF(ISNUMBER(_xll.BDP($C$5&amp;$C18&amp;$E19&amp;" "&amp;Q18&amp;" "&amp;$C$7,$G20,"UpdFreq="&amp;$A$3)),_xll.BDP($C$5&amp;$C18&amp;$E19&amp;" "&amp;Q18&amp;" "&amp;$C$7,$G20,"UpdFreq="&amp;$A$3),"")</f>
        <v/>
      </c>
      <c r="R20" s="258" t="str">
        <f ca="1">IF(ISNUMBER(_xll.BDP($C$5&amp;$C18&amp;$E19&amp;" "&amp;R18&amp;" "&amp;$C$7,$G20,"UpdFreq="&amp;$A$3)),_xll.BDP($C$5&amp;$C18&amp;$E19&amp;" "&amp;R18&amp;" "&amp;$C$7,$G20,"UpdFreq="&amp;$A$3),"")</f>
        <v/>
      </c>
      <c r="S20" s="258" t="str">
        <f ca="1">IF(ISNUMBER(_xll.BDP($C$5&amp;$C18&amp;$E19&amp;" "&amp;S18&amp;" "&amp;$C$7,$G20,"UpdFreq="&amp;$A$3)),_xll.BDP($C$5&amp;$C18&amp;$E19&amp;" "&amp;S18&amp;" "&amp;$C$7,$G20,"UpdFreq="&amp;$A$3),"")</f>
        <v/>
      </c>
      <c r="T20" s="259" t="str">
        <f ca="1">IF(ISNUMBER(_xll.BDP($C$5&amp;$C18&amp;$E19&amp;" "&amp;T18&amp;" "&amp;$C$7,$G20,"UpdFreq="&amp;$A$3)),_xll.BDP($C$5&amp;$C18&amp;$E19&amp;" "&amp;T18&amp;" "&amp;$C$7,$G20,"UpdFreq="&amp;$A$3),"")</f>
        <v/>
      </c>
    </row>
    <row r="21" spans="2:20">
      <c r="B21" s="247" t="s">
        <v>56</v>
      </c>
      <c r="C21" s="248" t="e">
        <f ca="1">_xll.BDP($C$5&amp;C18&amp;" "&amp;$C$7, G22)</f>
        <v>#NAME?</v>
      </c>
      <c r="E21" s="121" t="s">
        <v>185</v>
      </c>
      <c r="F21" s="265" t="s">
        <v>186</v>
      </c>
      <c r="G21" s="266" t="s">
        <v>56</v>
      </c>
      <c r="H21" s="257" t="str">
        <f ca="1">IF(ISNUMBER(_xll.BDP($C$5&amp;$C18&amp;$E21&amp;" "&amp;H18&amp;" "&amp;$C$7,$G21,"UpdFreq="&amp;$A$3)),_xll.BDP($C$5&amp;$C18&amp;$E21&amp;" "&amp;H18&amp;" "&amp;$C$7,$G21,"UpdFreq="&amp;$A$3),"")</f>
        <v/>
      </c>
      <c r="I21" s="258" t="str">
        <f ca="1">IF(ISNUMBER(_xll.BDP($C$5&amp;$C18&amp;$E21&amp;" "&amp;I18&amp;" "&amp;$C$7,$G21,"UpdFreq="&amp;$A$3)),_xll.BDP($C$5&amp;$C18&amp;$E21&amp;" "&amp;I18&amp;" "&amp;$C$7,$G21,"UpdFreq="&amp;$A$3),"")</f>
        <v/>
      </c>
      <c r="J21" s="258" t="str">
        <f ca="1">IF(ISNUMBER(_xll.BDP($C$5&amp;$C18&amp;$E21&amp;" "&amp;J18&amp;" "&amp;$C$7,$G21,"UpdFreq="&amp;$A$3)),_xll.BDP($C$5&amp;$C18&amp;$E21&amp;" "&amp;J18&amp;" "&amp;$C$7,$G21,"UpdFreq="&amp;$A$3),"")</f>
        <v/>
      </c>
      <c r="K21" s="258" t="str">
        <f ca="1">IF(ISNUMBER(_xll.BDP($C$5&amp;$C18&amp;$E21&amp;" "&amp;K18&amp;" "&amp;$C$7,$G21,"UpdFreq="&amp;$A$3)),_xll.BDP($C$5&amp;$C18&amp;$E21&amp;" "&amp;K18&amp;" "&amp;$C$7,$G21,"UpdFreq="&amp;$A$3),"")</f>
        <v/>
      </c>
      <c r="L21" s="258" t="str">
        <f ca="1">IF(ISNUMBER(_xll.BDP($C$5&amp;$C18&amp;$E21&amp;" "&amp;L18&amp;" "&amp;$C$7,$G21,"UpdFreq="&amp;$A$3)),_xll.BDP($C$5&amp;$C18&amp;$E21&amp;" "&amp;L18&amp;" "&amp;$C$7,$G21,"UpdFreq="&amp;$A$3),"")</f>
        <v/>
      </c>
      <c r="M21" s="258" t="str">
        <f ca="1">IF(ISNUMBER(_xll.BDP($C$5&amp;$C18&amp;$E21&amp;" "&amp;M18&amp;" "&amp;$C$7,$G21,"UpdFreq="&amp;$A$3)),_xll.BDP($C$5&amp;$C18&amp;$E21&amp;" "&amp;M18&amp;" "&amp;$C$7,$G21,"UpdFreq="&amp;$A$3),"")</f>
        <v/>
      </c>
      <c r="N21" s="258" t="str">
        <f ca="1">IF(ISNUMBER(_xll.BDP($C$5&amp;$C18&amp;$E21&amp;" "&amp;N18&amp;" "&amp;$C$7,$G21,"UpdFreq="&amp;$A$3)),_xll.BDP($C$5&amp;$C18&amp;$E21&amp;" "&amp;N18&amp;" "&amp;$C$7,$G21,"UpdFreq="&amp;$A$3),"")</f>
        <v/>
      </c>
      <c r="O21" s="258" t="str">
        <f ca="1">IF(ISNUMBER(_xll.BDP($C$5&amp;$C18&amp;$E21&amp;" "&amp;O18&amp;" "&amp;$C$7,$G21,"UpdFreq="&amp;$A$3)),_xll.BDP($C$5&amp;$C18&amp;$E21&amp;" "&amp;O18&amp;" "&amp;$C$7,$G21,"UpdFreq="&amp;$A$3),"")</f>
        <v/>
      </c>
      <c r="P21" s="258" t="str">
        <f ca="1">IF(ISNUMBER(_xll.BDP($C$5&amp;$C18&amp;$E21&amp;" "&amp;P18&amp;" "&amp;$C$7,$G21,"UpdFreq="&amp;$A$3)),_xll.BDP($C$5&amp;$C18&amp;$E21&amp;" "&amp;P18&amp;" "&amp;$C$7,$G21,"UpdFreq="&amp;$A$3),"")</f>
        <v/>
      </c>
      <c r="Q21" s="258" t="str">
        <f ca="1">IF(ISNUMBER(_xll.BDP($C$5&amp;$C18&amp;$E21&amp;" "&amp;Q18&amp;" "&amp;$C$7,$G21,"UpdFreq="&amp;$A$3)),_xll.BDP($C$5&amp;$C18&amp;$E21&amp;" "&amp;Q18&amp;" "&amp;$C$7,$G21,"UpdFreq="&amp;$A$3),"")</f>
        <v/>
      </c>
      <c r="R21" s="258" t="str">
        <f ca="1">IF(ISNUMBER(_xll.BDP($C$5&amp;$C18&amp;$E21&amp;" "&amp;R18&amp;" "&amp;$C$7,$G21,"UpdFreq="&amp;$A$3)),_xll.BDP($C$5&amp;$C18&amp;$E21&amp;" "&amp;R18&amp;" "&amp;$C$7,$G21,"UpdFreq="&amp;$A$3),"")</f>
        <v/>
      </c>
      <c r="S21" s="258" t="str">
        <f ca="1">IF(ISNUMBER(_xll.BDP($C$5&amp;$C18&amp;$E21&amp;" "&amp;S18&amp;" "&amp;$C$7,$G21,"UpdFreq="&amp;$A$3)),_xll.BDP($C$5&amp;$C18&amp;$E21&amp;" "&amp;S18&amp;" "&amp;$C$7,$G21,"UpdFreq="&amp;$A$3),"")</f>
        <v/>
      </c>
      <c r="T21" s="259" t="str">
        <f ca="1">IF(ISNUMBER(_xll.BDP($C$5&amp;$C18&amp;$E21&amp;" "&amp;T18&amp;" "&amp;$C$7,$G21,"UpdFreq="&amp;$A$3)),_xll.BDP($C$5&amp;$C18&amp;$E21&amp;" "&amp;T18&amp;" "&amp;$C$7,$G21,"UpdFreq="&amp;$A$3),"")</f>
        <v/>
      </c>
    </row>
    <row r="22" spans="2:20" ht="13.5" thickBot="1">
      <c r="B22" s="249" t="s">
        <v>187</v>
      </c>
      <c r="C22" s="250" t="e">
        <f ca="1">IF(ISNUMBER($N19),_xll.BDP($C$5&amp;$C18&amp;$E19&amp;" "&amp;N18&amp;" "&amp;$C$7,"OPT_EXPIRE_DT"),_xll.BDP($C$5&amp;$C18&amp;$E19&amp;" "&amp;M18&amp;" "&amp;$C$7,"OPT_EXPIRE_DT"))</f>
        <v>#NAME?</v>
      </c>
      <c r="F22" s="267"/>
      <c r="G22" s="268" t="s">
        <v>57</v>
      </c>
      <c r="H22" s="260" t="str">
        <f ca="1">IF(ISNUMBER(_xll.BDP($C$5&amp;$C18&amp;$E21&amp;" "&amp;H18&amp;" "&amp;$C$7,$G22,"UpdFreq="&amp;$A$3)),_xll.BDP($C$5&amp;$C18&amp;$E21&amp;" "&amp;H18&amp;" "&amp;$C$7,$G22,"UpdFreq="&amp;$A$3),"")</f>
        <v/>
      </c>
      <c r="I22" s="261" t="str">
        <f ca="1">IF(ISNUMBER(_xll.BDP($C$5&amp;$C18&amp;$E21&amp;" "&amp;I18&amp;" "&amp;$C$7,$G22,"UpdFreq="&amp;$A$3)),_xll.BDP($C$5&amp;$C18&amp;$E21&amp;" "&amp;I18&amp;" "&amp;$C$7,$G22,"UpdFreq="&amp;$A$3),"")</f>
        <v/>
      </c>
      <c r="J22" s="261" t="str">
        <f ca="1">IF(ISNUMBER(_xll.BDP($C$5&amp;$C18&amp;$E21&amp;" "&amp;J18&amp;" "&amp;$C$7,$G22,"UpdFreq="&amp;$A$3)),_xll.BDP($C$5&amp;$C18&amp;$E21&amp;" "&amp;J18&amp;" "&amp;$C$7,$G22,"UpdFreq="&amp;$A$3),"")</f>
        <v/>
      </c>
      <c r="K22" s="261" t="str">
        <f ca="1">IF(ISNUMBER(_xll.BDP($C$5&amp;$C18&amp;$E21&amp;" "&amp;K18&amp;" "&amp;$C$7,$G22,"UpdFreq="&amp;$A$3)),_xll.BDP($C$5&amp;$C18&amp;$E21&amp;" "&amp;K18&amp;" "&amp;$C$7,$G22,"UpdFreq="&amp;$A$3),"")</f>
        <v/>
      </c>
      <c r="L22" s="261" t="str">
        <f ca="1">IF(ISNUMBER(_xll.BDP($C$5&amp;$C18&amp;$E21&amp;" "&amp;L18&amp;" "&amp;$C$7,$G22,"UpdFreq="&amp;$A$3)),_xll.BDP($C$5&amp;$C18&amp;$E21&amp;" "&amp;L18&amp;" "&amp;$C$7,$G22,"UpdFreq="&amp;$A$3),"")</f>
        <v/>
      </c>
      <c r="M22" s="261" t="str">
        <f ca="1">IF(ISNUMBER(_xll.BDP($C$5&amp;$C18&amp;$E21&amp;" "&amp;M18&amp;" "&amp;$C$7,$G22,"UpdFreq="&amp;$A$3)),_xll.BDP($C$5&amp;$C18&amp;$E21&amp;" "&amp;M18&amp;" "&amp;$C$7,$G22,"UpdFreq="&amp;$A$3),"")</f>
        <v/>
      </c>
      <c r="N22" s="261" t="str">
        <f ca="1">IF(ISNUMBER(_xll.BDP($C$5&amp;$C18&amp;$E21&amp;" "&amp;N18&amp;" "&amp;$C$7,$G22,"UpdFreq="&amp;$A$3)),_xll.BDP($C$5&amp;$C18&amp;$E21&amp;" "&amp;N18&amp;" "&amp;$C$7,$G22,"UpdFreq="&amp;$A$3),"")</f>
        <v/>
      </c>
      <c r="O22" s="261" t="str">
        <f ca="1">IF(ISNUMBER(_xll.BDP($C$5&amp;$C18&amp;$E21&amp;" "&amp;O18&amp;" "&amp;$C$7,$G22,"UpdFreq="&amp;$A$3)),_xll.BDP($C$5&amp;$C18&amp;$E21&amp;" "&amp;O18&amp;" "&amp;$C$7,$G22,"UpdFreq="&amp;$A$3),"")</f>
        <v/>
      </c>
      <c r="P22" s="261" t="str">
        <f ca="1">IF(ISNUMBER(_xll.BDP($C$5&amp;$C18&amp;$E21&amp;" "&amp;P18&amp;" "&amp;$C$7,$G22,"UpdFreq="&amp;$A$3)),_xll.BDP($C$5&amp;$C18&amp;$E21&amp;" "&amp;P18&amp;" "&amp;$C$7,$G22,"UpdFreq="&amp;$A$3),"")</f>
        <v/>
      </c>
      <c r="Q22" s="261" t="str">
        <f ca="1">IF(ISNUMBER(_xll.BDP($C$5&amp;$C18&amp;$E21&amp;" "&amp;Q18&amp;" "&amp;$C$7,$G22,"UpdFreq="&amp;$A$3)),_xll.BDP($C$5&amp;$C18&amp;$E21&amp;" "&amp;Q18&amp;" "&amp;$C$7,$G22,"UpdFreq="&amp;$A$3),"")</f>
        <v/>
      </c>
      <c r="R22" s="261" t="str">
        <f ca="1">IF(ISNUMBER(_xll.BDP($C$5&amp;$C18&amp;$E21&amp;" "&amp;R18&amp;" "&amp;$C$7,$G22,"UpdFreq="&amp;$A$3)),_xll.BDP($C$5&amp;$C18&amp;$E21&amp;" "&amp;R18&amp;" "&amp;$C$7,$G22,"UpdFreq="&amp;$A$3),"")</f>
        <v/>
      </c>
      <c r="S22" s="261" t="str">
        <f ca="1">IF(ISNUMBER(_xll.BDP($C$5&amp;$C18&amp;$E21&amp;" "&amp;S18&amp;" "&amp;$C$7,$G22,"UpdFreq="&amp;$A$3)),_xll.BDP($C$5&amp;$C18&amp;$E21&amp;" "&amp;S18&amp;" "&amp;$C$7,$G22,"UpdFreq="&amp;$A$3),"")</f>
        <v/>
      </c>
      <c r="T22" s="262" t="str">
        <f ca="1">IF(ISNUMBER(_xll.BDP($C$5&amp;$C18&amp;$E21&amp;" "&amp;T18&amp;" "&amp;$C$7,$G22,"UpdFreq="&amp;$A$3)),_xll.BDP($C$5&amp;$C18&amp;$E21&amp;" "&amp;T18&amp;" "&amp;$C$7,$G22,"UpdFreq="&amp;$A$3),"")</f>
        <v/>
      </c>
    </row>
    <row r="23" spans="2:20" ht="13.5" thickBot="1">
      <c r="G23" s="121"/>
      <c r="H23" s="121"/>
      <c r="K23" s="121"/>
    </row>
    <row r="24" spans="2:20" ht="13.5" thickBot="1">
      <c r="B24" s="241" t="s">
        <v>181</v>
      </c>
      <c r="C24" s="242" t="s">
        <v>190</v>
      </c>
      <c r="F24" s="241" t="s">
        <v>208</v>
      </c>
      <c r="G24" s="121" t="str">
        <f>+$C$5&amp;C24&amp;" "&amp;$C$7</f>
        <v>ERM3 Comdty</v>
      </c>
      <c r="H24" s="251" t="e">
        <f t="shared" ref="H24:M24" ca="1" si="4">I24-$C$6</f>
        <v>#NAME?</v>
      </c>
      <c r="I24" s="252" t="e">
        <f t="shared" ca="1" si="4"/>
        <v>#NAME?</v>
      </c>
      <c r="J24" s="252" t="e">
        <f t="shared" ca="1" si="4"/>
        <v>#NAME?</v>
      </c>
      <c r="K24" s="252" t="e">
        <f t="shared" ca="1" si="4"/>
        <v>#NAME?</v>
      </c>
      <c r="L24" s="252" t="e">
        <f t="shared" ca="1" si="4"/>
        <v>#NAME?</v>
      </c>
      <c r="M24" s="252" t="e">
        <f t="shared" ca="1" si="4"/>
        <v>#NAME?</v>
      </c>
      <c r="N24" s="253" t="e">
        <f ca="1">ROUND($C25/($C$6),0)*$C$6</f>
        <v>#NAME?</v>
      </c>
      <c r="O24" s="252" t="e">
        <f t="shared" ref="O24:T24" ca="1" si="5">N24+$C$6</f>
        <v>#NAME?</v>
      </c>
      <c r="P24" s="252" t="e">
        <f t="shared" ca="1" si="5"/>
        <v>#NAME?</v>
      </c>
      <c r="Q24" s="252" t="e">
        <f t="shared" ca="1" si="5"/>
        <v>#NAME?</v>
      </c>
      <c r="R24" s="252" t="e">
        <f t="shared" ca="1" si="5"/>
        <v>#NAME?</v>
      </c>
      <c r="S24" s="252" t="e">
        <f t="shared" ca="1" si="5"/>
        <v>#NAME?</v>
      </c>
      <c r="T24" s="252" t="e">
        <f t="shared" ca="1" si="5"/>
        <v>#NAME?</v>
      </c>
    </row>
    <row r="25" spans="2:20">
      <c r="B25" s="243" t="s">
        <v>182</v>
      </c>
      <c r="C25" s="244" t="e">
        <f ca="1">AVERAGE(C26:C27)</f>
        <v>#NAME?</v>
      </c>
      <c r="E25" s="121" t="s">
        <v>183</v>
      </c>
      <c r="F25" s="263" t="s">
        <v>184</v>
      </c>
      <c r="G25" s="264" t="s">
        <v>56</v>
      </c>
      <c r="H25" s="254" t="str">
        <f ca="1">IF(ISNUMBER(_xll.BDP($C$5&amp;$C24&amp;$E25&amp;" "&amp;H24&amp;" "&amp;$C$7,$G25,"UpdFreq="&amp;$A$3)),_xll.BDP($C$5&amp;$C24&amp;$E25&amp;" "&amp;H24&amp;" "&amp;$C$7,$G25,"UpdFreq="&amp;$A$3),"")</f>
        <v/>
      </c>
      <c r="I25" s="255" t="str">
        <f ca="1">IF(ISNUMBER(_xll.BDP($C$5&amp;$C24&amp;$E25&amp;" "&amp;I24&amp;" "&amp;$C$7,$G25,"UpdFreq="&amp;$A$3)),_xll.BDP($C$5&amp;$C24&amp;$E25&amp;" "&amp;I24&amp;" "&amp;$C$7,$G25,"UpdFreq="&amp;$A$3),"")</f>
        <v/>
      </c>
      <c r="J25" s="255" t="str">
        <f ca="1">IF(ISNUMBER(_xll.BDP($C$5&amp;$C24&amp;$E25&amp;" "&amp;J24&amp;" "&amp;$C$7,$G25,"UpdFreq="&amp;$A$3)),_xll.BDP($C$5&amp;$C24&amp;$E25&amp;" "&amp;J24&amp;" "&amp;$C$7,$G25,"UpdFreq="&amp;$A$3),"")</f>
        <v/>
      </c>
      <c r="K25" s="255" t="str">
        <f ca="1">IF(ISNUMBER(_xll.BDP($C$5&amp;$C24&amp;$E25&amp;" "&amp;K24&amp;" "&amp;$C$7,$G25,"UpdFreq="&amp;$A$3)),_xll.BDP($C$5&amp;$C24&amp;$E25&amp;" "&amp;K24&amp;" "&amp;$C$7,$G25,"UpdFreq="&amp;$A$3),"")</f>
        <v/>
      </c>
      <c r="L25" s="255" t="str">
        <f ca="1">IF(ISNUMBER(_xll.BDP($C$5&amp;$C24&amp;$E25&amp;" "&amp;L24&amp;" "&amp;$C$7,$G25,"UpdFreq="&amp;$A$3)),_xll.BDP($C$5&amp;$C24&amp;$E25&amp;" "&amp;L24&amp;" "&amp;$C$7,$G25,"UpdFreq="&amp;$A$3),"")</f>
        <v/>
      </c>
      <c r="M25" s="255" t="str">
        <f ca="1">IF(ISNUMBER(_xll.BDP($C$5&amp;$C24&amp;$E25&amp;" "&amp;M24&amp;" "&amp;$C$7,$G25,"UpdFreq="&amp;$A$3)),_xll.BDP($C$5&amp;$C24&amp;$E25&amp;" "&amp;M24&amp;" "&amp;$C$7,$G25,"UpdFreq="&amp;$A$3),"")</f>
        <v/>
      </c>
      <c r="N25" s="255" t="str">
        <f ca="1">IF(ISNUMBER(_xll.BDP($C$5&amp;$C24&amp;$E25&amp;" "&amp;N24&amp;" "&amp;$C$7,$G25,"UpdFreq="&amp;$A$3)),_xll.BDP($C$5&amp;$C24&amp;$E25&amp;" "&amp;N24&amp;" "&amp;$C$7,$G25,"UpdFreq="&amp;$A$3),"")</f>
        <v/>
      </c>
      <c r="O25" s="255" t="str">
        <f ca="1">IF(ISNUMBER(_xll.BDP($C$5&amp;$C24&amp;$E25&amp;" "&amp;O24&amp;" "&amp;$C$7,$G25,"UpdFreq="&amp;$A$3)),_xll.BDP($C$5&amp;$C24&amp;$E25&amp;" "&amp;O24&amp;" "&amp;$C$7,$G25,"UpdFreq="&amp;$A$3),"")</f>
        <v/>
      </c>
      <c r="P25" s="255" t="str">
        <f ca="1">IF(ISNUMBER(_xll.BDP($C$5&amp;$C24&amp;$E25&amp;" "&amp;P24&amp;" "&amp;$C$7,$G25,"UpdFreq="&amp;$A$3)),_xll.BDP($C$5&amp;$C24&amp;$E25&amp;" "&amp;P24&amp;" "&amp;$C$7,$G25,"UpdFreq="&amp;$A$3),"")</f>
        <v/>
      </c>
      <c r="Q25" s="255" t="str">
        <f ca="1">IF(ISNUMBER(_xll.BDP($C$5&amp;$C24&amp;$E25&amp;" "&amp;Q24&amp;" "&amp;$C$7,$G25,"UpdFreq="&amp;$A$3)),_xll.BDP($C$5&amp;$C24&amp;$E25&amp;" "&amp;Q24&amp;" "&amp;$C$7,$G25,"UpdFreq="&amp;$A$3),"")</f>
        <v/>
      </c>
      <c r="R25" s="255" t="str">
        <f ca="1">IF(ISNUMBER(_xll.BDP($C$5&amp;$C24&amp;$E25&amp;" "&amp;R24&amp;" "&amp;$C$7,$G25,"UpdFreq="&amp;$A$3)),_xll.BDP($C$5&amp;$C24&amp;$E25&amp;" "&amp;R24&amp;" "&amp;$C$7,$G25,"UpdFreq="&amp;$A$3),"")</f>
        <v/>
      </c>
      <c r="S25" s="255" t="str">
        <f ca="1">IF(ISNUMBER(_xll.BDP($C$5&amp;$C24&amp;$E25&amp;" "&amp;S24&amp;" "&amp;$C$7,$G25,"UpdFreq="&amp;$A$3)),_xll.BDP($C$5&amp;$C24&amp;$E25&amp;" "&amp;S24&amp;" "&amp;$C$7,$G25,"UpdFreq="&amp;$A$3),"")</f>
        <v/>
      </c>
      <c r="T25" s="256" t="str">
        <f ca="1">IF(ISNUMBER(_xll.BDP($C$5&amp;$C24&amp;$E25&amp;" "&amp;T24&amp;" "&amp;$C$7,$G25,"UpdFreq="&amp;$A$3)),_xll.BDP($C$5&amp;$C24&amp;$E25&amp;" "&amp;T24&amp;" "&amp;$C$7,$G25,"UpdFreq="&amp;$A$3),"")</f>
        <v/>
      </c>
    </row>
    <row r="26" spans="2:20">
      <c r="B26" s="245" t="s">
        <v>57</v>
      </c>
      <c r="C26" s="246" t="e">
        <f ca="1">_xll.BDP($C$5&amp;C24&amp;" "&amp;$C$7, G27)</f>
        <v>#NAME?</v>
      </c>
      <c r="F26" s="265"/>
      <c r="G26" s="266" t="s">
        <v>57</v>
      </c>
      <c r="H26" s="257" t="str">
        <f ca="1">IF(ISNUMBER(_xll.BDP($C$5&amp;$C24&amp;$E25&amp;" "&amp;H24&amp;" "&amp;$C$7,$G26,"UpdFreq="&amp;$A$3)),_xll.BDP($C$5&amp;$C24&amp;$E25&amp;" "&amp;H24&amp;" "&amp;$C$7,$G26,"UpdFreq="&amp;$A$3),"")</f>
        <v/>
      </c>
      <c r="I26" s="258" t="str">
        <f ca="1">IF(ISNUMBER(_xll.BDP($C$5&amp;$C24&amp;$E25&amp;" "&amp;I24&amp;" "&amp;$C$7,$G26,"UpdFreq="&amp;$A$3)),_xll.BDP($C$5&amp;$C24&amp;$E25&amp;" "&amp;I24&amp;" "&amp;$C$7,$G26,"UpdFreq="&amp;$A$3),"")</f>
        <v/>
      </c>
      <c r="J26" s="258" t="str">
        <f ca="1">IF(ISNUMBER(_xll.BDP($C$5&amp;$C24&amp;$E25&amp;" "&amp;J24&amp;" "&amp;$C$7,$G26,"UpdFreq="&amp;$A$3)),_xll.BDP($C$5&amp;$C24&amp;$E25&amp;" "&amp;J24&amp;" "&amp;$C$7,$G26,"UpdFreq="&amp;$A$3),"")</f>
        <v/>
      </c>
      <c r="K26" s="258" t="str">
        <f ca="1">IF(ISNUMBER(_xll.BDP($C$5&amp;$C24&amp;$E25&amp;" "&amp;K24&amp;" "&amp;$C$7,$G26,"UpdFreq="&amp;$A$3)),_xll.BDP($C$5&amp;$C24&amp;$E25&amp;" "&amp;K24&amp;" "&amp;$C$7,$G26,"UpdFreq="&amp;$A$3),"")</f>
        <v/>
      </c>
      <c r="L26" s="258" t="str">
        <f ca="1">IF(ISNUMBER(_xll.BDP($C$5&amp;$C24&amp;$E25&amp;" "&amp;L24&amp;" "&amp;$C$7,$G26,"UpdFreq="&amp;$A$3)),_xll.BDP($C$5&amp;$C24&amp;$E25&amp;" "&amp;L24&amp;" "&amp;$C$7,$G26,"UpdFreq="&amp;$A$3),"")</f>
        <v/>
      </c>
      <c r="M26" s="258" t="str">
        <f ca="1">IF(ISNUMBER(_xll.BDP($C$5&amp;$C24&amp;$E25&amp;" "&amp;M24&amp;" "&amp;$C$7,$G26,"UpdFreq="&amp;$A$3)),_xll.BDP($C$5&amp;$C24&amp;$E25&amp;" "&amp;M24&amp;" "&amp;$C$7,$G26,"UpdFreq="&amp;$A$3),"")</f>
        <v/>
      </c>
      <c r="N26" s="258" t="str">
        <f ca="1">IF(ISNUMBER(_xll.BDP($C$5&amp;$C24&amp;$E25&amp;" "&amp;N24&amp;" "&amp;$C$7,$G26,"UpdFreq="&amp;$A$3)),_xll.BDP($C$5&amp;$C24&amp;$E25&amp;" "&amp;N24&amp;" "&amp;$C$7,$G26,"UpdFreq="&amp;$A$3),"")</f>
        <v/>
      </c>
      <c r="O26" s="258" t="str">
        <f ca="1">IF(ISNUMBER(_xll.BDP($C$5&amp;$C24&amp;$E25&amp;" "&amp;O24&amp;" "&amp;$C$7,$G26,"UpdFreq="&amp;$A$3)),_xll.BDP($C$5&amp;$C24&amp;$E25&amp;" "&amp;O24&amp;" "&amp;$C$7,$G26,"UpdFreq="&amp;$A$3),"")</f>
        <v/>
      </c>
      <c r="P26" s="258" t="str">
        <f ca="1">IF(ISNUMBER(_xll.BDP($C$5&amp;$C24&amp;$E25&amp;" "&amp;P24&amp;" "&amp;$C$7,$G26,"UpdFreq="&amp;$A$3)),_xll.BDP($C$5&amp;$C24&amp;$E25&amp;" "&amp;P24&amp;" "&amp;$C$7,$G26,"UpdFreq="&amp;$A$3),"")</f>
        <v/>
      </c>
      <c r="Q26" s="258" t="str">
        <f ca="1">IF(ISNUMBER(_xll.BDP($C$5&amp;$C24&amp;$E25&amp;" "&amp;Q24&amp;" "&amp;$C$7,$G26,"UpdFreq="&amp;$A$3)),_xll.BDP($C$5&amp;$C24&amp;$E25&amp;" "&amp;Q24&amp;" "&amp;$C$7,$G26,"UpdFreq="&amp;$A$3),"")</f>
        <v/>
      </c>
      <c r="R26" s="258" t="str">
        <f ca="1">IF(ISNUMBER(_xll.BDP($C$5&amp;$C24&amp;$E25&amp;" "&amp;R24&amp;" "&amp;$C$7,$G26,"UpdFreq="&amp;$A$3)),_xll.BDP($C$5&amp;$C24&amp;$E25&amp;" "&amp;R24&amp;" "&amp;$C$7,$G26,"UpdFreq="&amp;$A$3),"")</f>
        <v/>
      </c>
      <c r="S26" s="258" t="str">
        <f ca="1">IF(ISNUMBER(_xll.BDP($C$5&amp;$C24&amp;$E25&amp;" "&amp;S24&amp;" "&amp;$C$7,$G26,"UpdFreq="&amp;$A$3)),_xll.BDP($C$5&amp;$C24&amp;$E25&amp;" "&amp;S24&amp;" "&amp;$C$7,$G26,"UpdFreq="&amp;$A$3),"")</f>
        <v/>
      </c>
      <c r="T26" s="259" t="str">
        <f ca="1">IF(ISNUMBER(_xll.BDP($C$5&amp;$C24&amp;$E25&amp;" "&amp;T24&amp;" "&amp;$C$7,$G26,"UpdFreq="&amp;$A$3)),_xll.BDP($C$5&amp;$C24&amp;$E25&amp;" "&amp;T24&amp;" "&amp;$C$7,$G26,"UpdFreq="&amp;$A$3),"")</f>
        <v/>
      </c>
    </row>
    <row r="27" spans="2:20">
      <c r="B27" s="247" t="s">
        <v>56</v>
      </c>
      <c r="C27" s="248" t="e">
        <f ca="1">_xll.BDP($C$5&amp;C24&amp;" "&amp;$C$7, G28)</f>
        <v>#NAME?</v>
      </c>
      <c r="E27" s="121" t="s">
        <v>185</v>
      </c>
      <c r="F27" s="265" t="s">
        <v>186</v>
      </c>
      <c r="G27" s="266" t="s">
        <v>56</v>
      </c>
      <c r="H27" s="257" t="str">
        <f ca="1">IF(ISNUMBER(_xll.BDP($C$5&amp;$C24&amp;$E27&amp;" "&amp;H24&amp;" "&amp;$C$7,$G27,"UpdFreq="&amp;$A$3)),_xll.BDP($C$5&amp;$C24&amp;$E27&amp;" "&amp;H24&amp;" "&amp;$C$7,$G27,"UpdFreq="&amp;$A$3),"")</f>
        <v/>
      </c>
      <c r="I27" s="258" t="str">
        <f ca="1">IF(ISNUMBER(_xll.BDP($C$5&amp;$C24&amp;$E27&amp;" "&amp;I24&amp;" "&amp;$C$7,$G27,"UpdFreq="&amp;$A$3)),_xll.BDP($C$5&amp;$C24&amp;$E27&amp;" "&amp;I24&amp;" "&amp;$C$7,$G27,"UpdFreq="&amp;$A$3),"")</f>
        <v/>
      </c>
      <c r="J27" s="258" t="str">
        <f ca="1">IF(ISNUMBER(_xll.BDP($C$5&amp;$C24&amp;$E27&amp;" "&amp;J24&amp;" "&amp;$C$7,$G27,"UpdFreq="&amp;$A$3)),_xll.BDP($C$5&amp;$C24&amp;$E27&amp;" "&amp;J24&amp;" "&amp;$C$7,$G27,"UpdFreq="&amp;$A$3),"")</f>
        <v/>
      </c>
      <c r="K27" s="258" t="str">
        <f ca="1">IF(ISNUMBER(_xll.BDP($C$5&amp;$C24&amp;$E27&amp;" "&amp;K24&amp;" "&amp;$C$7,$G27,"UpdFreq="&amp;$A$3)),_xll.BDP($C$5&amp;$C24&amp;$E27&amp;" "&amp;K24&amp;" "&amp;$C$7,$G27,"UpdFreq="&amp;$A$3),"")</f>
        <v/>
      </c>
      <c r="L27" s="258" t="str">
        <f ca="1">IF(ISNUMBER(_xll.BDP($C$5&amp;$C24&amp;$E27&amp;" "&amp;L24&amp;" "&amp;$C$7,$G27,"UpdFreq="&amp;$A$3)),_xll.BDP($C$5&amp;$C24&amp;$E27&amp;" "&amp;L24&amp;" "&amp;$C$7,$G27,"UpdFreq="&amp;$A$3),"")</f>
        <v/>
      </c>
      <c r="M27" s="258" t="str">
        <f ca="1">IF(ISNUMBER(_xll.BDP($C$5&amp;$C24&amp;$E27&amp;" "&amp;M24&amp;" "&amp;$C$7,$G27,"UpdFreq="&amp;$A$3)),_xll.BDP($C$5&amp;$C24&amp;$E27&amp;" "&amp;M24&amp;" "&amp;$C$7,$G27,"UpdFreq="&amp;$A$3),"")</f>
        <v/>
      </c>
      <c r="N27" s="258" t="str">
        <f ca="1">IF(ISNUMBER(_xll.BDP($C$5&amp;$C24&amp;$E27&amp;" "&amp;N24&amp;" "&amp;$C$7,$G27,"UpdFreq="&amp;$A$3)),_xll.BDP($C$5&amp;$C24&amp;$E27&amp;" "&amp;N24&amp;" "&amp;$C$7,$G27,"UpdFreq="&amp;$A$3),"")</f>
        <v/>
      </c>
      <c r="O27" s="258" t="str">
        <f ca="1">IF(ISNUMBER(_xll.BDP($C$5&amp;$C24&amp;$E27&amp;" "&amp;O24&amp;" "&amp;$C$7,$G27,"UpdFreq="&amp;$A$3)),_xll.BDP($C$5&amp;$C24&amp;$E27&amp;" "&amp;O24&amp;" "&amp;$C$7,$G27,"UpdFreq="&amp;$A$3),"")</f>
        <v/>
      </c>
      <c r="P27" s="258" t="str">
        <f ca="1">IF(ISNUMBER(_xll.BDP($C$5&amp;$C24&amp;$E27&amp;" "&amp;P24&amp;" "&amp;$C$7,$G27,"UpdFreq="&amp;$A$3)),_xll.BDP($C$5&amp;$C24&amp;$E27&amp;" "&amp;P24&amp;" "&amp;$C$7,$G27,"UpdFreq="&amp;$A$3),"")</f>
        <v/>
      </c>
      <c r="Q27" s="258" t="str">
        <f ca="1">IF(ISNUMBER(_xll.BDP($C$5&amp;$C24&amp;$E27&amp;" "&amp;Q24&amp;" "&amp;$C$7,$G27,"UpdFreq="&amp;$A$3)),_xll.BDP($C$5&amp;$C24&amp;$E27&amp;" "&amp;Q24&amp;" "&amp;$C$7,$G27,"UpdFreq="&amp;$A$3),"")</f>
        <v/>
      </c>
      <c r="R27" s="258" t="str">
        <f ca="1">IF(ISNUMBER(_xll.BDP($C$5&amp;$C24&amp;$E27&amp;" "&amp;R24&amp;" "&amp;$C$7,$G27,"UpdFreq="&amp;$A$3)),_xll.BDP($C$5&amp;$C24&amp;$E27&amp;" "&amp;R24&amp;" "&amp;$C$7,$G27,"UpdFreq="&amp;$A$3),"")</f>
        <v/>
      </c>
      <c r="S27" s="258" t="str">
        <f ca="1">IF(ISNUMBER(_xll.BDP($C$5&amp;$C24&amp;$E27&amp;" "&amp;S24&amp;" "&amp;$C$7,$G27,"UpdFreq="&amp;$A$3)),_xll.BDP($C$5&amp;$C24&amp;$E27&amp;" "&amp;S24&amp;" "&amp;$C$7,$G27,"UpdFreq="&amp;$A$3),"")</f>
        <v/>
      </c>
      <c r="T27" s="259" t="str">
        <f ca="1">IF(ISNUMBER(_xll.BDP($C$5&amp;$C24&amp;$E27&amp;" "&amp;T24&amp;" "&amp;$C$7,$G27,"UpdFreq="&amp;$A$3)),_xll.BDP($C$5&amp;$C24&amp;$E27&amp;" "&amp;T24&amp;" "&amp;$C$7,$G27,"UpdFreq="&amp;$A$3),"")</f>
        <v/>
      </c>
    </row>
    <row r="28" spans="2:20" ht="13.5" thickBot="1">
      <c r="B28" s="249" t="s">
        <v>187</v>
      </c>
      <c r="C28" s="250" t="e">
        <f ca="1">IF(ISNUMBER($N25),_xll.BDP($C$5&amp;$C24&amp;$E25&amp;" "&amp;N24&amp;" "&amp;$C$7,"OPT_EXPIRE_DT"),_xll.BDP($C$5&amp;$C24&amp;$E25&amp;" "&amp;M24&amp;" "&amp;$C$7,"OPT_EXPIRE_DT"))</f>
        <v>#NAME?</v>
      </c>
      <c r="F28" s="267"/>
      <c r="G28" s="268" t="s">
        <v>57</v>
      </c>
      <c r="H28" s="260" t="str">
        <f ca="1">IF(ISNUMBER(_xll.BDP($C$5&amp;$C24&amp;$E27&amp;" "&amp;H24&amp;" "&amp;$C$7,$G28,"UpdFreq="&amp;$A$3)),_xll.BDP($C$5&amp;$C24&amp;$E27&amp;" "&amp;H24&amp;" "&amp;$C$7,$G28,"UpdFreq="&amp;$A$3),"")</f>
        <v/>
      </c>
      <c r="I28" s="261" t="str">
        <f ca="1">IF(ISNUMBER(_xll.BDP($C$5&amp;$C24&amp;$E27&amp;" "&amp;I24&amp;" "&amp;$C$7,$G28,"UpdFreq="&amp;$A$3)),_xll.BDP($C$5&amp;$C24&amp;$E27&amp;" "&amp;I24&amp;" "&amp;$C$7,$G28,"UpdFreq="&amp;$A$3),"")</f>
        <v/>
      </c>
      <c r="J28" s="261" t="str">
        <f ca="1">IF(ISNUMBER(_xll.BDP($C$5&amp;$C24&amp;$E27&amp;" "&amp;J24&amp;" "&amp;$C$7,$G28,"UpdFreq="&amp;$A$3)),_xll.BDP($C$5&amp;$C24&amp;$E27&amp;" "&amp;J24&amp;" "&amp;$C$7,$G28,"UpdFreq="&amp;$A$3),"")</f>
        <v/>
      </c>
      <c r="K28" s="261" t="str">
        <f ca="1">IF(ISNUMBER(_xll.BDP($C$5&amp;$C24&amp;$E27&amp;" "&amp;K24&amp;" "&amp;$C$7,$G28,"UpdFreq="&amp;$A$3)),_xll.BDP($C$5&amp;$C24&amp;$E27&amp;" "&amp;K24&amp;" "&amp;$C$7,$G28,"UpdFreq="&amp;$A$3),"")</f>
        <v/>
      </c>
      <c r="L28" s="261" t="str">
        <f ca="1">IF(ISNUMBER(_xll.BDP($C$5&amp;$C24&amp;$E27&amp;" "&amp;L24&amp;" "&amp;$C$7,$G28,"UpdFreq="&amp;$A$3)),_xll.BDP($C$5&amp;$C24&amp;$E27&amp;" "&amp;L24&amp;" "&amp;$C$7,$G28,"UpdFreq="&amp;$A$3),"")</f>
        <v/>
      </c>
      <c r="M28" s="261" t="str">
        <f ca="1">IF(ISNUMBER(_xll.BDP($C$5&amp;$C24&amp;$E27&amp;" "&amp;M24&amp;" "&amp;$C$7,$G28,"UpdFreq="&amp;$A$3)),_xll.BDP($C$5&amp;$C24&amp;$E27&amp;" "&amp;M24&amp;" "&amp;$C$7,$G28,"UpdFreq="&amp;$A$3),"")</f>
        <v/>
      </c>
      <c r="N28" s="261" t="str">
        <f ca="1">IF(ISNUMBER(_xll.BDP($C$5&amp;$C24&amp;$E27&amp;" "&amp;N24&amp;" "&amp;$C$7,$G28,"UpdFreq="&amp;$A$3)),_xll.BDP($C$5&amp;$C24&amp;$E27&amp;" "&amp;N24&amp;" "&amp;$C$7,$G28,"UpdFreq="&amp;$A$3),"")</f>
        <v/>
      </c>
      <c r="O28" s="261" t="str">
        <f ca="1">IF(ISNUMBER(_xll.BDP($C$5&amp;$C24&amp;$E27&amp;" "&amp;O24&amp;" "&amp;$C$7,$G28,"UpdFreq="&amp;$A$3)),_xll.BDP($C$5&amp;$C24&amp;$E27&amp;" "&amp;O24&amp;" "&amp;$C$7,$G28,"UpdFreq="&amp;$A$3),"")</f>
        <v/>
      </c>
      <c r="P28" s="261" t="str">
        <f ca="1">IF(ISNUMBER(_xll.BDP($C$5&amp;$C24&amp;$E27&amp;" "&amp;P24&amp;" "&amp;$C$7,$G28,"UpdFreq="&amp;$A$3)),_xll.BDP($C$5&amp;$C24&amp;$E27&amp;" "&amp;P24&amp;" "&amp;$C$7,$G28,"UpdFreq="&amp;$A$3),"")</f>
        <v/>
      </c>
      <c r="Q28" s="261" t="str">
        <f ca="1">IF(ISNUMBER(_xll.BDP($C$5&amp;$C24&amp;$E27&amp;" "&amp;Q24&amp;" "&amp;$C$7,$G28,"UpdFreq="&amp;$A$3)),_xll.BDP($C$5&amp;$C24&amp;$E27&amp;" "&amp;Q24&amp;" "&amp;$C$7,$G28,"UpdFreq="&amp;$A$3),"")</f>
        <v/>
      </c>
      <c r="R28" s="261" t="str">
        <f ca="1">IF(ISNUMBER(_xll.BDP($C$5&amp;$C24&amp;$E27&amp;" "&amp;R24&amp;" "&amp;$C$7,$G28,"UpdFreq="&amp;$A$3)),_xll.BDP($C$5&amp;$C24&amp;$E27&amp;" "&amp;R24&amp;" "&amp;$C$7,$G28,"UpdFreq="&amp;$A$3),"")</f>
        <v/>
      </c>
      <c r="S28" s="261" t="str">
        <f ca="1">IF(ISNUMBER(_xll.BDP($C$5&amp;$C24&amp;$E27&amp;" "&amp;S24&amp;" "&amp;$C$7,$G28,"UpdFreq="&amp;$A$3)),_xll.BDP($C$5&amp;$C24&amp;$E27&amp;" "&amp;S24&amp;" "&amp;$C$7,$G28,"UpdFreq="&amp;$A$3),"")</f>
        <v/>
      </c>
      <c r="T28" s="262" t="str">
        <f ca="1">IF(ISNUMBER(_xll.BDP($C$5&amp;$C24&amp;$E27&amp;" "&amp;T24&amp;" "&amp;$C$7,$G28,"UpdFreq="&amp;$A$3)),_xll.BDP($C$5&amp;$C24&amp;$E27&amp;" "&amp;T24&amp;" "&amp;$C$7,$G28,"UpdFreq="&amp;$A$3),"")</f>
        <v/>
      </c>
    </row>
    <row r="29" spans="2:20" ht="13.5" thickBot="1">
      <c r="G29" s="121"/>
      <c r="H29" s="121"/>
      <c r="K29" s="121"/>
    </row>
    <row r="30" spans="2:20" ht="13.5" thickBot="1">
      <c r="B30" s="241" t="s">
        <v>181</v>
      </c>
      <c r="C30" s="242" t="s">
        <v>191</v>
      </c>
      <c r="F30" s="241" t="s">
        <v>208</v>
      </c>
      <c r="G30" s="121" t="str">
        <f>+$C$5&amp;C30&amp;" "&amp;$C$7</f>
        <v>ERU3 Comdty</v>
      </c>
      <c r="H30" s="251" t="e">
        <f t="shared" ref="H30:M30" ca="1" si="6">I30-$C$6</f>
        <v>#NAME?</v>
      </c>
      <c r="I30" s="252" t="e">
        <f t="shared" ca="1" si="6"/>
        <v>#NAME?</v>
      </c>
      <c r="J30" s="252" t="e">
        <f t="shared" ca="1" si="6"/>
        <v>#NAME?</v>
      </c>
      <c r="K30" s="252" t="e">
        <f t="shared" ca="1" si="6"/>
        <v>#NAME?</v>
      </c>
      <c r="L30" s="252" t="e">
        <f t="shared" ca="1" si="6"/>
        <v>#NAME?</v>
      </c>
      <c r="M30" s="252" t="e">
        <f t="shared" ca="1" si="6"/>
        <v>#NAME?</v>
      </c>
      <c r="N30" s="253" t="e">
        <f ca="1">ROUND($C31/($C$6),0)*$C$6</f>
        <v>#NAME?</v>
      </c>
      <c r="O30" s="252" t="e">
        <f t="shared" ref="O30:T30" ca="1" si="7">N30+$C$6</f>
        <v>#NAME?</v>
      </c>
      <c r="P30" s="252" t="e">
        <f t="shared" ca="1" si="7"/>
        <v>#NAME?</v>
      </c>
      <c r="Q30" s="252" t="e">
        <f t="shared" ca="1" si="7"/>
        <v>#NAME?</v>
      </c>
      <c r="R30" s="252" t="e">
        <f t="shared" ca="1" si="7"/>
        <v>#NAME?</v>
      </c>
      <c r="S30" s="252" t="e">
        <f t="shared" ca="1" si="7"/>
        <v>#NAME?</v>
      </c>
      <c r="T30" s="252" t="e">
        <f t="shared" ca="1" si="7"/>
        <v>#NAME?</v>
      </c>
    </row>
    <row r="31" spans="2:20">
      <c r="B31" s="243" t="s">
        <v>182</v>
      </c>
      <c r="C31" s="244" t="e">
        <f ca="1">AVERAGE(C32:C33)</f>
        <v>#NAME?</v>
      </c>
      <c r="E31" s="121" t="s">
        <v>183</v>
      </c>
      <c r="F31" s="263" t="s">
        <v>184</v>
      </c>
      <c r="G31" s="264" t="s">
        <v>56</v>
      </c>
      <c r="H31" s="254" t="str">
        <f ca="1">IF(ISNUMBER(_xll.BDP($C$5&amp;$C30&amp;$E31&amp;" "&amp;H30&amp;" "&amp;$C$7,$G31,"UpdFreq="&amp;$A$3)),_xll.BDP($C$5&amp;$C30&amp;$E31&amp;" "&amp;H30&amp;" "&amp;$C$7,$G31,"UpdFreq="&amp;$A$3),"")</f>
        <v/>
      </c>
      <c r="I31" s="255" t="str">
        <f ca="1">IF(ISNUMBER(_xll.BDP($C$5&amp;$C30&amp;$E31&amp;" "&amp;I30&amp;" "&amp;$C$7,$G31,"UpdFreq="&amp;$A$3)),_xll.BDP($C$5&amp;$C30&amp;$E31&amp;" "&amp;I30&amp;" "&amp;$C$7,$G31,"UpdFreq="&amp;$A$3),"")</f>
        <v/>
      </c>
      <c r="J31" s="255" t="str">
        <f ca="1">IF(ISNUMBER(_xll.BDP($C$5&amp;$C30&amp;$E31&amp;" "&amp;J30&amp;" "&amp;$C$7,$G31,"UpdFreq="&amp;$A$3)),_xll.BDP($C$5&amp;$C30&amp;$E31&amp;" "&amp;J30&amp;" "&amp;$C$7,$G31,"UpdFreq="&amp;$A$3),"")</f>
        <v/>
      </c>
      <c r="K31" s="255" t="str">
        <f ca="1">IF(ISNUMBER(_xll.BDP($C$5&amp;$C30&amp;$E31&amp;" "&amp;K30&amp;" "&amp;$C$7,$G31,"UpdFreq="&amp;$A$3)),_xll.BDP($C$5&amp;$C30&amp;$E31&amp;" "&amp;K30&amp;" "&amp;$C$7,$G31,"UpdFreq="&amp;$A$3),"")</f>
        <v/>
      </c>
      <c r="L31" s="255" t="str">
        <f ca="1">IF(ISNUMBER(_xll.BDP($C$5&amp;$C30&amp;$E31&amp;" "&amp;L30&amp;" "&amp;$C$7,$G31,"UpdFreq="&amp;$A$3)),_xll.BDP($C$5&amp;$C30&amp;$E31&amp;" "&amp;L30&amp;" "&amp;$C$7,$G31,"UpdFreq="&amp;$A$3),"")</f>
        <v/>
      </c>
      <c r="M31" s="255" t="str">
        <f ca="1">IF(ISNUMBER(_xll.BDP($C$5&amp;$C30&amp;$E31&amp;" "&amp;M30&amp;" "&amp;$C$7,$G31,"UpdFreq="&amp;$A$3)),_xll.BDP($C$5&amp;$C30&amp;$E31&amp;" "&amp;M30&amp;" "&amp;$C$7,$G31,"UpdFreq="&amp;$A$3),"")</f>
        <v/>
      </c>
      <c r="N31" s="255" t="str">
        <f ca="1">IF(ISNUMBER(_xll.BDP($C$5&amp;$C30&amp;$E31&amp;" "&amp;N30&amp;" "&amp;$C$7,$G31,"UpdFreq="&amp;$A$3)),_xll.BDP($C$5&amp;$C30&amp;$E31&amp;" "&amp;N30&amp;" "&amp;$C$7,$G31,"UpdFreq="&amp;$A$3),"")</f>
        <v/>
      </c>
      <c r="O31" s="255" t="str">
        <f ca="1">IF(ISNUMBER(_xll.BDP($C$5&amp;$C30&amp;$E31&amp;" "&amp;O30&amp;" "&amp;$C$7,$G31,"UpdFreq="&amp;$A$3)),_xll.BDP($C$5&amp;$C30&amp;$E31&amp;" "&amp;O30&amp;" "&amp;$C$7,$G31,"UpdFreq="&amp;$A$3),"")</f>
        <v/>
      </c>
      <c r="P31" s="255" t="str">
        <f ca="1">IF(ISNUMBER(_xll.BDP($C$5&amp;$C30&amp;$E31&amp;" "&amp;P30&amp;" "&amp;$C$7,$G31,"UpdFreq="&amp;$A$3)),_xll.BDP($C$5&amp;$C30&amp;$E31&amp;" "&amp;P30&amp;" "&amp;$C$7,$G31,"UpdFreq="&amp;$A$3),"")</f>
        <v/>
      </c>
      <c r="Q31" s="255" t="str">
        <f ca="1">IF(ISNUMBER(_xll.BDP($C$5&amp;$C30&amp;$E31&amp;" "&amp;Q30&amp;" "&amp;$C$7,$G31,"UpdFreq="&amp;$A$3)),_xll.BDP($C$5&amp;$C30&amp;$E31&amp;" "&amp;Q30&amp;" "&amp;$C$7,$G31,"UpdFreq="&amp;$A$3),"")</f>
        <v/>
      </c>
      <c r="R31" s="255" t="str">
        <f ca="1">IF(ISNUMBER(_xll.BDP($C$5&amp;$C30&amp;$E31&amp;" "&amp;R30&amp;" "&amp;$C$7,$G31,"UpdFreq="&amp;$A$3)),_xll.BDP($C$5&amp;$C30&amp;$E31&amp;" "&amp;R30&amp;" "&amp;$C$7,$G31,"UpdFreq="&amp;$A$3),"")</f>
        <v/>
      </c>
      <c r="S31" s="255" t="str">
        <f ca="1">IF(ISNUMBER(_xll.BDP($C$5&amp;$C30&amp;$E31&amp;" "&amp;S30&amp;" "&amp;$C$7,$G31,"UpdFreq="&amp;$A$3)),_xll.BDP($C$5&amp;$C30&amp;$E31&amp;" "&amp;S30&amp;" "&amp;$C$7,$G31,"UpdFreq="&amp;$A$3),"")</f>
        <v/>
      </c>
      <c r="T31" s="256" t="str">
        <f ca="1">IF(ISNUMBER(_xll.BDP($C$5&amp;$C30&amp;$E31&amp;" "&amp;T30&amp;" "&amp;$C$7,$G31,"UpdFreq="&amp;$A$3)),_xll.BDP($C$5&amp;$C30&amp;$E31&amp;" "&amp;T30&amp;" "&amp;$C$7,$G31,"UpdFreq="&amp;$A$3),"")</f>
        <v/>
      </c>
    </row>
    <row r="32" spans="2:20">
      <c r="B32" s="245" t="s">
        <v>57</v>
      </c>
      <c r="C32" s="246" t="e">
        <f ca="1">_xll.BDP($C$5&amp;C30&amp;" "&amp;$C$7, G33)</f>
        <v>#NAME?</v>
      </c>
      <c r="F32" s="265"/>
      <c r="G32" s="266" t="s">
        <v>57</v>
      </c>
      <c r="H32" s="257" t="str">
        <f ca="1">IF(ISNUMBER(_xll.BDP($C$5&amp;$C30&amp;$E31&amp;" "&amp;H30&amp;" "&amp;$C$7,$G32,"UpdFreq="&amp;$A$3)),_xll.BDP($C$5&amp;$C30&amp;$E31&amp;" "&amp;H30&amp;" "&amp;$C$7,$G32,"UpdFreq="&amp;$A$3),"")</f>
        <v/>
      </c>
      <c r="I32" s="258" t="str">
        <f ca="1">IF(ISNUMBER(_xll.BDP($C$5&amp;$C30&amp;$E31&amp;" "&amp;I30&amp;" "&amp;$C$7,$G32,"UpdFreq="&amp;$A$3)),_xll.BDP($C$5&amp;$C30&amp;$E31&amp;" "&amp;I30&amp;" "&amp;$C$7,$G32,"UpdFreq="&amp;$A$3),"")</f>
        <v/>
      </c>
      <c r="J32" s="258" t="str">
        <f ca="1">IF(ISNUMBER(_xll.BDP($C$5&amp;$C30&amp;$E31&amp;" "&amp;J30&amp;" "&amp;$C$7,$G32,"UpdFreq="&amp;$A$3)),_xll.BDP($C$5&amp;$C30&amp;$E31&amp;" "&amp;J30&amp;" "&amp;$C$7,$G32,"UpdFreq="&amp;$A$3),"")</f>
        <v/>
      </c>
      <c r="K32" s="258" t="str">
        <f ca="1">IF(ISNUMBER(_xll.BDP($C$5&amp;$C30&amp;$E31&amp;" "&amp;K30&amp;" "&amp;$C$7,$G32,"UpdFreq="&amp;$A$3)),_xll.BDP($C$5&amp;$C30&amp;$E31&amp;" "&amp;K30&amp;" "&amp;$C$7,$G32,"UpdFreq="&amp;$A$3),"")</f>
        <v/>
      </c>
      <c r="L32" s="258" t="str">
        <f ca="1">IF(ISNUMBER(_xll.BDP($C$5&amp;$C30&amp;$E31&amp;" "&amp;L30&amp;" "&amp;$C$7,$G32,"UpdFreq="&amp;$A$3)),_xll.BDP($C$5&amp;$C30&amp;$E31&amp;" "&amp;L30&amp;" "&amp;$C$7,$G32,"UpdFreq="&amp;$A$3),"")</f>
        <v/>
      </c>
      <c r="M32" s="258" t="str">
        <f ca="1">IF(ISNUMBER(_xll.BDP($C$5&amp;$C30&amp;$E31&amp;" "&amp;M30&amp;" "&amp;$C$7,$G32,"UpdFreq="&amp;$A$3)),_xll.BDP($C$5&amp;$C30&amp;$E31&amp;" "&amp;M30&amp;" "&amp;$C$7,$G32,"UpdFreq="&amp;$A$3),"")</f>
        <v/>
      </c>
      <c r="N32" s="258" t="str">
        <f ca="1">IF(ISNUMBER(_xll.BDP($C$5&amp;$C30&amp;$E31&amp;" "&amp;N30&amp;" "&amp;$C$7,$G32,"UpdFreq="&amp;$A$3)),_xll.BDP($C$5&amp;$C30&amp;$E31&amp;" "&amp;N30&amp;" "&amp;$C$7,$G32,"UpdFreq="&amp;$A$3),"")</f>
        <v/>
      </c>
      <c r="O32" s="258" t="str">
        <f ca="1">IF(ISNUMBER(_xll.BDP($C$5&amp;$C30&amp;$E31&amp;" "&amp;O30&amp;" "&amp;$C$7,$G32,"UpdFreq="&amp;$A$3)),_xll.BDP($C$5&amp;$C30&amp;$E31&amp;" "&amp;O30&amp;" "&amp;$C$7,$G32,"UpdFreq="&amp;$A$3),"")</f>
        <v/>
      </c>
      <c r="P32" s="258" t="str">
        <f ca="1">IF(ISNUMBER(_xll.BDP($C$5&amp;$C30&amp;$E31&amp;" "&amp;P30&amp;" "&amp;$C$7,$G32,"UpdFreq="&amp;$A$3)),_xll.BDP($C$5&amp;$C30&amp;$E31&amp;" "&amp;P30&amp;" "&amp;$C$7,$G32,"UpdFreq="&amp;$A$3),"")</f>
        <v/>
      </c>
      <c r="Q32" s="258" t="str">
        <f ca="1">IF(ISNUMBER(_xll.BDP($C$5&amp;$C30&amp;$E31&amp;" "&amp;Q30&amp;" "&amp;$C$7,$G32,"UpdFreq="&amp;$A$3)),_xll.BDP($C$5&amp;$C30&amp;$E31&amp;" "&amp;Q30&amp;" "&amp;$C$7,$G32,"UpdFreq="&amp;$A$3),"")</f>
        <v/>
      </c>
      <c r="R32" s="258" t="str">
        <f ca="1">IF(ISNUMBER(_xll.BDP($C$5&amp;$C30&amp;$E31&amp;" "&amp;R30&amp;" "&amp;$C$7,$G32,"UpdFreq="&amp;$A$3)),_xll.BDP($C$5&amp;$C30&amp;$E31&amp;" "&amp;R30&amp;" "&amp;$C$7,$G32,"UpdFreq="&amp;$A$3),"")</f>
        <v/>
      </c>
      <c r="S32" s="258" t="str">
        <f ca="1">IF(ISNUMBER(_xll.BDP($C$5&amp;$C30&amp;$E31&amp;" "&amp;S30&amp;" "&amp;$C$7,$G32,"UpdFreq="&amp;$A$3)),_xll.BDP($C$5&amp;$C30&amp;$E31&amp;" "&amp;S30&amp;" "&amp;$C$7,$G32,"UpdFreq="&amp;$A$3),"")</f>
        <v/>
      </c>
      <c r="T32" s="259" t="str">
        <f ca="1">IF(ISNUMBER(_xll.BDP($C$5&amp;$C30&amp;$E31&amp;" "&amp;T30&amp;" "&amp;$C$7,$G32,"UpdFreq="&amp;$A$3)),_xll.BDP($C$5&amp;$C30&amp;$E31&amp;" "&amp;T30&amp;" "&amp;$C$7,$G32,"UpdFreq="&amp;$A$3),"")</f>
        <v/>
      </c>
    </row>
    <row r="33" spans="2:20">
      <c r="B33" s="247" t="s">
        <v>56</v>
      </c>
      <c r="C33" s="248" t="e">
        <f ca="1">_xll.BDP($C$5&amp;C30&amp;" "&amp;$C$7, G34)</f>
        <v>#NAME?</v>
      </c>
      <c r="E33" s="121" t="s">
        <v>185</v>
      </c>
      <c r="F33" s="265" t="s">
        <v>186</v>
      </c>
      <c r="G33" s="266" t="s">
        <v>56</v>
      </c>
      <c r="H33" s="257" t="str">
        <f ca="1">IF(ISNUMBER(_xll.BDP($C$5&amp;$C30&amp;$E33&amp;" "&amp;H30&amp;" "&amp;$C$7,$G33,"UpdFreq="&amp;$A$3)),_xll.BDP($C$5&amp;$C30&amp;$E33&amp;" "&amp;H30&amp;" "&amp;$C$7,$G33,"UpdFreq="&amp;$A$3),"")</f>
        <v/>
      </c>
      <c r="I33" s="258" t="str">
        <f ca="1">IF(ISNUMBER(_xll.BDP($C$5&amp;$C30&amp;$E33&amp;" "&amp;I30&amp;" "&amp;$C$7,$G33,"UpdFreq="&amp;$A$3)),_xll.BDP($C$5&amp;$C30&amp;$E33&amp;" "&amp;I30&amp;" "&amp;$C$7,$G33,"UpdFreq="&amp;$A$3),"")</f>
        <v/>
      </c>
      <c r="J33" s="258" t="str">
        <f ca="1">IF(ISNUMBER(_xll.BDP($C$5&amp;$C30&amp;$E33&amp;" "&amp;J30&amp;" "&amp;$C$7,$G33,"UpdFreq="&amp;$A$3)),_xll.BDP($C$5&amp;$C30&amp;$E33&amp;" "&amp;J30&amp;" "&amp;$C$7,$G33,"UpdFreq="&amp;$A$3),"")</f>
        <v/>
      </c>
      <c r="K33" s="258" t="str">
        <f ca="1">IF(ISNUMBER(_xll.BDP($C$5&amp;$C30&amp;$E33&amp;" "&amp;K30&amp;" "&amp;$C$7,$G33,"UpdFreq="&amp;$A$3)),_xll.BDP($C$5&amp;$C30&amp;$E33&amp;" "&amp;K30&amp;" "&amp;$C$7,$G33,"UpdFreq="&amp;$A$3),"")</f>
        <v/>
      </c>
      <c r="L33" s="258" t="str">
        <f ca="1">IF(ISNUMBER(_xll.BDP($C$5&amp;$C30&amp;$E33&amp;" "&amp;L30&amp;" "&amp;$C$7,$G33,"UpdFreq="&amp;$A$3)),_xll.BDP($C$5&amp;$C30&amp;$E33&amp;" "&amp;L30&amp;" "&amp;$C$7,$G33,"UpdFreq="&amp;$A$3),"")</f>
        <v/>
      </c>
      <c r="M33" s="258" t="str">
        <f ca="1">IF(ISNUMBER(_xll.BDP($C$5&amp;$C30&amp;$E33&amp;" "&amp;M30&amp;" "&amp;$C$7,$G33,"UpdFreq="&amp;$A$3)),_xll.BDP($C$5&amp;$C30&amp;$E33&amp;" "&amp;M30&amp;" "&amp;$C$7,$G33,"UpdFreq="&amp;$A$3),"")</f>
        <v/>
      </c>
      <c r="N33" s="258" t="str">
        <f ca="1">IF(ISNUMBER(_xll.BDP($C$5&amp;$C30&amp;$E33&amp;" "&amp;N30&amp;" "&amp;$C$7,$G33,"UpdFreq="&amp;$A$3)),_xll.BDP($C$5&amp;$C30&amp;$E33&amp;" "&amp;N30&amp;" "&amp;$C$7,$G33,"UpdFreq="&amp;$A$3),"")</f>
        <v/>
      </c>
      <c r="O33" s="258" t="str">
        <f ca="1">IF(ISNUMBER(_xll.BDP($C$5&amp;$C30&amp;$E33&amp;" "&amp;O30&amp;" "&amp;$C$7,$G33,"UpdFreq="&amp;$A$3)),_xll.BDP($C$5&amp;$C30&amp;$E33&amp;" "&amp;O30&amp;" "&amp;$C$7,$G33,"UpdFreq="&amp;$A$3),"")</f>
        <v/>
      </c>
      <c r="P33" s="258" t="str">
        <f ca="1">IF(ISNUMBER(_xll.BDP($C$5&amp;$C30&amp;$E33&amp;" "&amp;P30&amp;" "&amp;$C$7,$G33,"UpdFreq="&amp;$A$3)),_xll.BDP($C$5&amp;$C30&amp;$E33&amp;" "&amp;P30&amp;" "&amp;$C$7,$G33,"UpdFreq="&amp;$A$3),"")</f>
        <v/>
      </c>
      <c r="Q33" s="258" t="str">
        <f ca="1">IF(ISNUMBER(_xll.BDP($C$5&amp;$C30&amp;$E33&amp;" "&amp;Q30&amp;" "&amp;$C$7,$G33,"UpdFreq="&amp;$A$3)),_xll.BDP($C$5&amp;$C30&amp;$E33&amp;" "&amp;Q30&amp;" "&amp;$C$7,$G33,"UpdFreq="&amp;$A$3),"")</f>
        <v/>
      </c>
      <c r="R33" s="258" t="str">
        <f ca="1">IF(ISNUMBER(_xll.BDP($C$5&amp;$C30&amp;$E33&amp;" "&amp;R30&amp;" "&amp;$C$7,$G33,"UpdFreq="&amp;$A$3)),_xll.BDP($C$5&amp;$C30&amp;$E33&amp;" "&amp;R30&amp;" "&amp;$C$7,$G33,"UpdFreq="&amp;$A$3),"")</f>
        <v/>
      </c>
      <c r="S33" s="258" t="str">
        <f ca="1">IF(ISNUMBER(_xll.BDP($C$5&amp;$C30&amp;$E33&amp;" "&amp;S30&amp;" "&amp;$C$7,$G33,"UpdFreq="&amp;$A$3)),_xll.BDP($C$5&amp;$C30&amp;$E33&amp;" "&amp;S30&amp;" "&amp;$C$7,$G33,"UpdFreq="&amp;$A$3),"")</f>
        <v/>
      </c>
      <c r="T33" s="259" t="str">
        <f ca="1">IF(ISNUMBER(_xll.BDP($C$5&amp;$C30&amp;$E33&amp;" "&amp;T30&amp;" "&amp;$C$7,$G33,"UpdFreq="&amp;$A$3)),_xll.BDP($C$5&amp;$C30&amp;$E33&amp;" "&amp;T30&amp;" "&amp;$C$7,$G33,"UpdFreq="&amp;$A$3),"")</f>
        <v/>
      </c>
    </row>
    <row r="34" spans="2:20" ht="13.5" thickBot="1">
      <c r="B34" s="249" t="s">
        <v>187</v>
      </c>
      <c r="C34" s="250" t="e">
        <f ca="1">IF(ISNUMBER($N31),_xll.BDP($C$5&amp;$C30&amp;$E31&amp;" "&amp;N30&amp;" "&amp;$C$7,"OPT_EXPIRE_DT"),_xll.BDP($C$5&amp;$C30&amp;$E31&amp;" "&amp;M30&amp;" "&amp;$C$7,"OPT_EXPIRE_DT"))</f>
        <v>#NAME?</v>
      </c>
      <c r="F34" s="267"/>
      <c r="G34" s="268" t="s">
        <v>57</v>
      </c>
      <c r="H34" s="260" t="str">
        <f ca="1">IF(ISNUMBER(_xll.BDP($C$5&amp;$C30&amp;$E33&amp;" "&amp;H30&amp;" "&amp;$C$7,$G34,"UpdFreq="&amp;$A$3)),_xll.BDP($C$5&amp;$C30&amp;$E33&amp;" "&amp;H30&amp;" "&amp;$C$7,$G34,"UpdFreq="&amp;$A$3),"")</f>
        <v/>
      </c>
      <c r="I34" s="261" t="str">
        <f ca="1">IF(ISNUMBER(_xll.BDP($C$5&amp;$C30&amp;$E33&amp;" "&amp;I30&amp;" "&amp;$C$7,$G34,"UpdFreq="&amp;$A$3)),_xll.BDP($C$5&amp;$C30&amp;$E33&amp;" "&amp;I30&amp;" "&amp;$C$7,$G34,"UpdFreq="&amp;$A$3),"")</f>
        <v/>
      </c>
      <c r="J34" s="261" t="str">
        <f ca="1">IF(ISNUMBER(_xll.BDP($C$5&amp;$C30&amp;$E33&amp;" "&amp;J30&amp;" "&amp;$C$7,$G34,"UpdFreq="&amp;$A$3)),_xll.BDP($C$5&amp;$C30&amp;$E33&amp;" "&amp;J30&amp;" "&amp;$C$7,$G34,"UpdFreq="&amp;$A$3),"")</f>
        <v/>
      </c>
      <c r="K34" s="261" t="str">
        <f ca="1">IF(ISNUMBER(_xll.BDP($C$5&amp;$C30&amp;$E33&amp;" "&amp;K30&amp;" "&amp;$C$7,$G34,"UpdFreq="&amp;$A$3)),_xll.BDP($C$5&amp;$C30&amp;$E33&amp;" "&amp;K30&amp;" "&amp;$C$7,$G34,"UpdFreq="&amp;$A$3),"")</f>
        <v/>
      </c>
      <c r="L34" s="261" t="str">
        <f ca="1">IF(ISNUMBER(_xll.BDP($C$5&amp;$C30&amp;$E33&amp;" "&amp;L30&amp;" "&amp;$C$7,$G34,"UpdFreq="&amp;$A$3)),_xll.BDP($C$5&amp;$C30&amp;$E33&amp;" "&amp;L30&amp;" "&amp;$C$7,$G34,"UpdFreq="&amp;$A$3),"")</f>
        <v/>
      </c>
      <c r="M34" s="261" t="str">
        <f ca="1">IF(ISNUMBER(_xll.BDP($C$5&amp;$C30&amp;$E33&amp;" "&amp;M30&amp;" "&amp;$C$7,$G34,"UpdFreq="&amp;$A$3)),_xll.BDP($C$5&amp;$C30&amp;$E33&amp;" "&amp;M30&amp;" "&amp;$C$7,$G34,"UpdFreq="&amp;$A$3),"")</f>
        <v/>
      </c>
      <c r="N34" s="261" t="str">
        <f ca="1">IF(ISNUMBER(_xll.BDP($C$5&amp;$C30&amp;$E33&amp;" "&amp;N30&amp;" "&amp;$C$7,$G34,"UpdFreq="&amp;$A$3)),_xll.BDP($C$5&amp;$C30&amp;$E33&amp;" "&amp;N30&amp;" "&amp;$C$7,$G34,"UpdFreq="&amp;$A$3),"")</f>
        <v/>
      </c>
      <c r="O34" s="261" t="str">
        <f ca="1">IF(ISNUMBER(_xll.BDP($C$5&amp;$C30&amp;$E33&amp;" "&amp;O30&amp;" "&amp;$C$7,$G34,"UpdFreq="&amp;$A$3)),_xll.BDP($C$5&amp;$C30&amp;$E33&amp;" "&amp;O30&amp;" "&amp;$C$7,$G34,"UpdFreq="&amp;$A$3),"")</f>
        <v/>
      </c>
      <c r="P34" s="261" t="str">
        <f ca="1">IF(ISNUMBER(_xll.BDP($C$5&amp;$C30&amp;$E33&amp;" "&amp;P30&amp;" "&amp;$C$7,$G34,"UpdFreq="&amp;$A$3)),_xll.BDP($C$5&amp;$C30&amp;$E33&amp;" "&amp;P30&amp;" "&amp;$C$7,$G34,"UpdFreq="&amp;$A$3),"")</f>
        <v/>
      </c>
      <c r="Q34" s="261" t="str">
        <f ca="1">IF(ISNUMBER(_xll.BDP($C$5&amp;$C30&amp;$E33&amp;" "&amp;Q30&amp;" "&amp;$C$7,$G34,"UpdFreq="&amp;$A$3)),_xll.BDP($C$5&amp;$C30&amp;$E33&amp;" "&amp;Q30&amp;" "&amp;$C$7,$G34,"UpdFreq="&amp;$A$3),"")</f>
        <v/>
      </c>
      <c r="R34" s="261" t="str">
        <f ca="1">IF(ISNUMBER(_xll.BDP($C$5&amp;$C30&amp;$E33&amp;" "&amp;R30&amp;" "&amp;$C$7,$G34,"UpdFreq="&amp;$A$3)),_xll.BDP($C$5&amp;$C30&amp;$E33&amp;" "&amp;R30&amp;" "&amp;$C$7,$G34,"UpdFreq="&amp;$A$3),"")</f>
        <v/>
      </c>
      <c r="S34" s="261" t="str">
        <f ca="1">IF(ISNUMBER(_xll.BDP($C$5&amp;$C30&amp;$E33&amp;" "&amp;S30&amp;" "&amp;$C$7,$G34,"UpdFreq="&amp;$A$3)),_xll.BDP($C$5&amp;$C30&amp;$E33&amp;" "&amp;S30&amp;" "&amp;$C$7,$G34,"UpdFreq="&amp;$A$3),"")</f>
        <v/>
      </c>
      <c r="T34" s="262" t="str">
        <f ca="1">IF(ISNUMBER(_xll.BDP($C$5&amp;$C30&amp;$E33&amp;" "&amp;T30&amp;" "&amp;$C$7,$G34,"UpdFreq="&amp;$A$3)),_xll.BDP($C$5&amp;$C30&amp;$E33&amp;" "&amp;T30&amp;" "&amp;$C$7,$G34,"UpdFreq="&amp;$A$3),"")</f>
        <v/>
      </c>
    </row>
    <row r="35" spans="2:20" ht="13.5" thickBot="1">
      <c r="G35" s="121"/>
      <c r="H35" s="121"/>
      <c r="K35" s="121"/>
    </row>
    <row r="36" spans="2:20" ht="13.5" thickBot="1">
      <c r="B36" s="241" t="s">
        <v>181</v>
      </c>
      <c r="C36" s="242" t="s">
        <v>192</v>
      </c>
      <c r="F36" s="241" t="s">
        <v>208</v>
      </c>
      <c r="G36" s="121" t="str">
        <f>+$C$5&amp;C36&amp;" "&amp;$C$7</f>
        <v>ERZ3 Comdty</v>
      </c>
      <c r="H36" s="251" t="e">
        <f t="shared" ref="H36:M36" ca="1" si="8">I36-$C$6</f>
        <v>#NAME?</v>
      </c>
      <c r="I36" s="252" t="e">
        <f t="shared" ca="1" si="8"/>
        <v>#NAME?</v>
      </c>
      <c r="J36" s="252" t="e">
        <f t="shared" ca="1" si="8"/>
        <v>#NAME?</v>
      </c>
      <c r="K36" s="252" t="e">
        <f t="shared" ca="1" si="8"/>
        <v>#NAME?</v>
      </c>
      <c r="L36" s="252" t="e">
        <f t="shared" ca="1" si="8"/>
        <v>#NAME?</v>
      </c>
      <c r="M36" s="252" t="e">
        <f t="shared" ca="1" si="8"/>
        <v>#NAME?</v>
      </c>
      <c r="N36" s="253" t="e">
        <f ca="1">ROUND($C37/($C$6),0)*$C$6</f>
        <v>#NAME?</v>
      </c>
      <c r="O36" s="252" t="e">
        <f t="shared" ref="O36:T36" ca="1" si="9">N36+$C$6</f>
        <v>#NAME?</v>
      </c>
      <c r="P36" s="252" t="e">
        <f t="shared" ca="1" si="9"/>
        <v>#NAME?</v>
      </c>
      <c r="Q36" s="252" t="e">
        <f t="shared" ca="1" si="9"/>
        <v>#NAME?</v>
      </c>
      <c r="R36" s="252" t="e">
        <f t="shared" ca="1" si="9"/>
        <v>#NAME?</v>
      </c>
      <c r="S36" s="252" t="e">
        <f t="shared" ca="1" si="9"/>
        <v>#NAME?</v>
      </c>
      <c r="T36" s="252" t="e">
        <f t="shared" ca="1" si="9"/>
        <v>#NAME?</v>
      </c>
    </row>
    <row r="37" spans="2:20">
      <c r="B37" s="243" t="s">
        <v>182</v>
      </c>
      <c r="C37" s="244" t="e">
        <f ca="1">AVERAGE(C38:C39)</f>
        <v>#NAME?</v>
      </c>
      <c r="E37" s="121" t="s">
        <v>183</v>
      </c>
      <c r="F37" s="263" t="s">
        <v>184</v>
      </c>
      <c r="G37" s="264" t="s">
        <v>56</v>
      </c>
      <c r="H37" s="254" t="str">
        <f ca="1">IF(ISNUMBER(_xll.BDP($C$5&amp;$C36&amp;$E37&amp;" "&amp;H36&amp;" "&amp;$C$7,$G37,"UpdFreq="&amp;$A$3)),_xll.BDP($C$5&amp;$C36&amp;$E37&amp;" "&amp;H36&amp;" "&amp;$C$7,$G37,"UpdFreq="&amp;$A$3),"")</f>
        <v/>
      </c>
      <c r="I37" s="255" t="str">
        <f ca="1">IF(ISNUMBER(_xll.BDP($C$5&amp;$C36&amp;$E37&amp;" "&amp;I36&amp;" "&amp;$C$7,$G37,"UpdFreq="&amp;$A$3)),_xll.BDP($C$5&amp;$C36&amp;$E37&amp;" "&amp;I36&amp;" "&amp;$C$7,$G37,"UpdFreq="&amp;$A$3),"")</f>
        <v/>
      </c>
      <c r="J37" s="255" t="str">
        <f ca="1">IF(ISNUMBER(_xll.BDP($C$5&amp;$C36&amp;$E37&amp;" "&amp;J36&amp;" "&amp;$C$7,$G37,"UpdFreq="&amp;$A$3)),_xll.BDP($C$5&amp;$C36&amp;$E37&amp;" "&amp;J36&amp;" "&amp;$C$7,$G37,"UpdFreq="&amp;$A$3),"")</f>
        <v/>
      </c>
      <c r="K37" s="255" t="str">
        <f ca="1">IF(ISNUMBER(_xll.BDP($C$5&amp;$C36&amp;$E37&amp;" "&amp;K36&amp;" "&amp;$C$7,$G37,"UpdFreq="&amp;$A$3)),_xll.BDP($C$5&amp;$C36&amp;$E37&amp;" "&amp;K36&amp;" "&amp;$C$7,$G37,"UpdFreq="&amp;$A$3),"")</f>
        <v/>
      </c>
      <c r="L37" s="255" t="str">
        <f ca="1">IF(ISNUMBER(_xll.BDP($C$5&amp;$C36&amp;$E37&amp;" "&amp;L36&amp;" "&amp;$C$7,$G37,"UpdFreq="&amp;$A$3)),_xll.BDP($C$5&amp;$C36&amp;$E37&amp;" "&amp;L36&amp;" "&amp;$C$7,$G37,"UpdFreq="&amp;$A$3),"")</f>
        <v/>
      </c>
      <c r="M37" s="255" t="str">
        <f ca="1">IF(ISNUMBER(_xll.BDP($C$5&amp;$C36&amp;$E37&amp;" "&amp;M36&amp;" "&amp;$C$7,$G37,"UpdFreq="&amp;$A$3)),_xll.BDP($C$5&amp;$C36&amp;$E37&amp;" "&amp;M36&amp;" "&amp;$C$7,$G37,"UpdFreq="&amp;$A$3),"")</f>
        <v/>
      </c>
      <c r="N37" s="255" t="str">
        <f ca="1">IF(ISNUMBER(_xll.BDP($C$5&amp;$C36&amp;$E37&amp;" "&amp;N36&amp;" "&amp;$C$7,$G37,"UpdFreq="&amp;$A$3)),_xll.BDP($C$5&amp;$C36&amp;$E37&amp;" "&amp;N36&amp;" "&amp;$C$7,$G37,"UpdFreq="&amp;$A$3),"")</f>
        <v/>
      </c>
      <c r="O37" s="255" t="str">
        <f ca="1">IF(ISNUMBER(_xll.BDP($C$5&amp;$C36&amp;$E37&amp;" "&amp;O36&amp;" "&amp;$C$7,$G37,"UpdFreq="&amp;$A$3)),_xll.BDP($C$5&amp;$C36&amp;$E37&amp;" "&amp;O36&amp;" "&amp;$C$7,$G37,"UpdFreq="&amp;$A$3),"")</f>
        <v/>
      </c>
      <c r="P37" s="255" t="str">
        <f ca="1">IF(ISNUMBER(_xll.BDP($C$5&amp;$C36&amp;$E37&amp;" "&amp;P36&amp;" "&amp;$C$7,$G37,"UpdFreq="&amp;$A$3)),_xll.BDP($C$5&amp;$C36&amp;$E37&amp;" "&amp;P36&amp;" "&amp;$C$7,$G37,"UpdFreq="&amp;$A$3),"")</f>
        <v/>
      </c>
      <c r="Q37" s="255" t="str">
        <f ca="1">IF(ISNUMBER(_xll.BDP($C$5&amp;$C36&amp;$E37&amp;" "&amp;Q36&amp;" "&amp;$C$7,$G37,"UpdFreq="&amp;$A$3)),_xll.BDP($C$5&amp;$C36&amp;$E37&amp;" "&amp;Q36&amp;" "&amp;$C$7,$G37,"UpdFreq="&amp;$A$3),"")</f>
        <v/>
      </c>
      <c r="R37" s="255" t="str">
        <f ca="1">IF(ISNUMBER(_xll.BDP($C$5&amp;$C36&amp;$E37&amp;" "&amp;R36&amp;" "&amp;$C$7,$G37,"UpdFreq="&amp;$A$3)),_xll.BDP($C$5&amp;$C36&amp;$E37&amp;" "&amp;R36&amp;" "&amp;$C$7,$G37,"UpdFreq="&amp;$A$3),"")</f>
        <v/>
      </c>
      <c r="S37" s="255" t="str">
        <f ca="1">IF(ISNUMBER(_xll.BDP($C$5&amp;$C36&amp;$E37&amp;" "&amp;S36&amp;" "&amp;$C$7,$G37,"UpdFreq="&amp;$A$3)),_xll.BDP($C$5&amp;$C36&amp;$E37&amp;" "&amp;S36&amp;" "&amp;$C$7,$G37,"UpdFreq="&amp;$A$3),"")</f>
        <v/>
      </c>
      <c r="T37" s="256" t="str">
        <f ca="1">IF(ISNUMBER(_xll.BDP($C$5&amp;$C36&amp;$E37&amp;" "&amp;T36&amp;" "&amp;$C$7,$G37,"UpdFreq="&amp;$A$3)),_xll.BDP($C$5&amp;$C36&amp;$E37&amp;" "&amp;T36&amp;" "&amp;$C$7,$G37,"UpdFreq="&amp;$A$3),"")</f>
        <v/>
      </c>
    </row>
    <row r="38" spans="2:20">
      <c r="B38" s="245" t="s">
        <v>57</v>
      </c>
      <c r="C38" s="246" t="e">
        <f ca="1">_xll.BDP($C$5&amp;C36&amp;" "&amp;$C$7, G39)</f>
        <v>#NAME?</v>
      </c>
      <c r="F38" s="265"/>
      <c r="G38" s="266" t="s">
        <v>57</v>
      </c>
      <c r="H38" s="257" t="str">
        <f ca="1">IF(ISNUMBER(_xll.BDP($C$5&amp;$C36&amp;$E37&amp;" "&amp;H36&amp;" "&amp;$C$7,$G38,"UpdFreq="&amp;$A$3)),_xll.BDP($C$5&amp;$C36&amp;$E37&amp;" "&amp;H36&amp;" "&amp;$C$7,$G38,"UpdFreq="&amp;$A$3),"")</f>
        <v/>
      </c>
      <c r="I38" s="258" t="str">
        <f ca="1">IF(ISNUMBER(_xll.BDP($C$5&amp;$C36&amp;$E37&amp;" "&amp;I36&amp;" "&amp;$C$7,$G38,"UpdFreq="&amp;$A$3)),_xll.BDP($C$5&amp;$C36&amp;$E37&amp;" "&amp;I36&amp;" "&amp;$C$7,$G38,"UpdFreq="&amp;$A$3),"")</f>
        <v/>
      </c>
      <c r="J38" s="258" t="str">
        <f ca="1">IF(ISNUMBER(_xll.BDP($C$5&amp;$C36&amp;$E37&amp;" "&amp;J36&amp;" "&amp;$C$7,$G38,"UpdFreq="&amp;$A$3)),_xll.BDP($C$5&amp;$C36&amp;$E37&amp;" "&amp;J36&amp;" "&amp;$C$7,$G38,"UpdFreq="&amp;$A$3),"")</f>
        <v/>
      </c>
      <c r="K38" s="258" t="str">
        <f ca="1">IF(ISNUMBER(_xll.BDP($C$5&amp;$C36&amp;$E37&amp;" "&amp;K36&amp;" "&amp;$C$7,$G38,"UpdFreq="&amp;$A$3)),_xll.BDP($C$5&amp;$C36&amp;$E37&amp;" "&amp;K36&amp;" "&amp;$C$7,$G38,"UpdFreq="&amp;$A$3),"")</f>
        <v/>
      </c>
      <c r="L38" s="258" t="str">
        <f ca="1">IF(ISNUMBER(_xll.BDP($C$5&amp;$C36&amp;$E37&amp;" "&amp;L36&amp;" "&amp;$C$7,$G38,"UpdFreq="&amp;$A$3)),_xll.BDP($C$5&amp;$C36&amp;$E37&amp;" "&amp;L36&amp;" "&amp;$C$7,$G38,"UpdFreq="&amp;$A$3),"")</f>
        <v/>
      </c>
      <c r="M38" s="258" t="str">
        <f ca="1">IF(ISNUMBER(_xll.BDP($C$5&amp;$C36&amp;$E37&amp;" "&amp;M36&amp;" "&amp;$C$7,$G38,"UpdFreq="&amp;$A$3)),_xll.BDP($C$5&amp;$C36&amp;$E37&amp;" "&amp;M36&amp;" "&amp;$C$7,$G38,"UpdFreq="&amp;$A$3),"")</f>
        <v/>
      </c>
      <c r="N38" s="258" t="str">
        <f ca="1">IF(ISNUMBER(_xll.BDP($C$5&amp;$C36&amp;$E37&amp;" "&amp;N36&amp;" "&amp;$C$7,$G38,"UpdFreq="&amp;$A$3)),_xll.BDP($C$5&amp;$C36&amp;$E37&amp;" "&amp;N36&amp;" "&amp;$C$7,$G38,"UpdFreq="&amp;$A$3),"")</f>
        <v/>
      </c>
      <c r="O38" s="258" t="str">
        <f ca="1">IF(ISNUMBER(_xll.BDP($C$5&amp;$C36&amp;$E37&amp;" "&amp;O36&amp;" "&amp;$C$7,$G38,"UpdFreq="&amp;$A$3)),_xll.BDP($C$5&amp;$C36&amp;$E37&amp;" "&amp;O36&amp;" "&amp;$C$7,$G38,"UpdFreq="&amp;$A$3),"")</f>
        <v/>
      </c>
      <c r="P38" s="258" t="str">
        <f ca="1">IF(ISNUMBER(_xll.BDP($C$5&amp;$C36&amp;$E37&amp;" "&amp;P36&amp;" "&amp;$C$7,$G38,"UpdFreq="&amp;$A$3)),_xll.BDP($C$5&amp;$C36&amp;$E37&amp;" "&amp;P36&amp;" "&amp;$C$7,$G38,"UpdFreq="&amp;$A$3),"")</f>
        <v/>
      </c>
      <c r="Q38" s="258" t="str">
        <f ca="1">IF(ISNUMBER(_xll.BDP($C$5&amp;$C36&amp;$E37&amp;" "&amp;Q36&amp;" "&amp;$C$7,$G38,"UpdFreq="&amp;$A$3)),_xll.BDP($C$5&amp;$C36&amp;$E37&amp;" "&amp;Q36&amp;" "&amp;$C$7,$G38,"UpdFreq="&amp;$A$3),"")</f>
        <v/>
      </c>
      <c r="R38" s="258" t="str">
        <f ca="1">IF(ISNUMBER(_xll.BDP($C$5&amp;$C36&amp;$E37&amp;" "&amp;R36&amp;" "&amp;$C$7,$G38,"UpdFreq="&amp;$A$3)),_xll.BDP($C$5&amp;$C36&amp;$E37&amp;" "&amp;R36&amp;" "&amp;$C$7,$G38,"UpdFreq="&amp;$A$3),"")</f>
        <v/>
      </c>
      <c r="S38" s="258" t="str">
        <f ca="1">IF(ISNUMBER(_xll.BDP($C$5&amp;$C36&amp;$E37&amp;" "&amp;S36&amp;" "&amp;$C$7,$G38,"UpdFreq="&amp;$A$3)),_xll.BDP($C$5&amp;$C36&amp;$E37&amp;" "&amp;S36&amp;" "&amp;$C$7,$G38,"UpdFreq="&amp;$A$3),"")</f>
        <v/>
      </c>
      <c r="T38" s="259" t="str">
        <f ca="1">IF(ISNUMBER(_xll.BDP($C$5&amp;$C36&amp;$E37&amp;" "&amp;T36&amp;" "&amp;$C$7,$G38,"UpdFreq="&amp;$A$3)),_xll.BDP($C$5&amp;$C36&amp;$E37&amp;" "&amp;T36&amp;" "&amp;$C$7,$G38,"UpdFreq="&amp;$A$3),"")</f>
        <v/>
      </c>
    </row>
    <row r="39" spans="2:20">
      <c r="B39" s="247" t="s">
        <v>56</v>
      </c>
      <c r="C39" s="248" t="e">
        <f ca="1">_xll.BDP($C$5&amp;C36&amp;" "&amp;$C$7, G40)</f>
        <v>#NAME?</v>
      </c>
      <c r="E39" s="121" t="s">
        <v>185</v>
      </c>
      <c r="F39" s="265" t="s">
        <v>186</v>
      </c>
      <c r="G39" s="266" t="s">
        <v>56</v>
      </c>
      <c r="H39" s="257" t="str">
        <f ca="1">IF(ISNUMBER(_xll.BDP($C$5&amp;$C36&amp;$E39&amp;" "&amp;H36&amp;" "&amp;$C$7,$G39,"UpdFreq="&amp;$A$3)),_xll.BDP($C$5&amp;$C36&amp;$E39&amp;" "&amp;H36&amp;" "&amp;$C$7,$G39,"UpdFreq="&amp;$A$3),"")</f>
        <v/>
      </c>
      <c r="I39" s="258" t="str">
        <f ca="1">IF(ISNUMBER(_xll.BDP($C$5&amp;$C36&amp;$E39&amp;" "&amp;I36&amp;" "&amp;$C$7,$G39,"UpdFreq="&amp;$A$3)),_xll.BDP($C$5&amp;$C36&amp;$E39&amp;" "&amp;I36&amp;" "&amp;$C$7,$G39,"UpdFreq="&amp;$A$3),"")</f>
        <v/>
      </c>
      <c r="J39" s="258" t="str">
        <f ca="1">IF(ISNUMBER(_xll.BDP($C$5&amp;$C36&amp;$E39&amp;" "&amp;J36&amp;" "&amp;$C$7,$G39,"UpdFreq="&amp;$A$3)),_xll.BDP($C$5&amp;$C36&amp;$E39&amp;" "&amp;J36&amp;" "&amp;$C$7,$G39,"UpdFreq="&amp;$A$3),"")</f>
        <v/>
      </c>
      <c r="K39" s="258" t="str">
        <f ca="1">IF(ISNUMBER(_xll.BDP($C$5&amp;$C36&amp;$E39&amp;" "&amp;K36&amp;" "&amp;$C$7,$G39,"UpdFreq="&amp;$A$3)),_xll.BDP($C$5&amp;$C36&amp;$E39&amp;" "&amp;K36&amp;" "&amp;$C$7,$G39,"UpdFreq="&amp;$A$3),"")</f>
        <v/>
      </c>
      <c r="L39" s="258" t="str">
        <f ca="1">IF(ISNUMBER(_xll.BDP($C$5&amp;$C36&amp;$E39&amp;" "&amp;L36&amp;" "&amp;$C$7,$G39,"UpdFreq="&amp;$A$3)),_xll.BDP($C$5&amp;$C36&amp;$E39&amp;" "&amp;L36&amp;" "&amp;$C$7,$G39,"UpdFreq="&amp;$A$3),"")</f>
        <v/>
      </c>
      <c r="M39" s="258" t="str">
        <f ca="1">IF(ISNUMBER(_xll.BDP($C$5&amp;$C36&amp;$E39&amp;" "&amp;M36&amp;" "&amp;$C$7,$G39,"UpdFreq="&amp;$A$3)),_xll.BDP($C$5&amp;$C36&amp;$E39&amp;" "&amp;M36&amp;" "&amp;$C$7,$G39,"UpdFreq="&amp;$A$3),"")</f>
        <v/>
      </c>
      <c r="N39" s="258" t="str">
        <f ca="1">IF(ISNUMBER(_xll.BDP($C$5&amp;$C36&amp;$E39&amp;" "&amp;N36&amp;" "&amp;$C$7,$G39,"UpdFreq="&amp;$A$3)),_xll.BDP($C$5&amp;$C36&amp;$E39&amp;" "&amp;N36&amp;" "&amp;$C$7,$G39,"UpdFreq="&amp;$A$3),"")</f>
        <v/>
      </c>
      <c r="O39" s="258" t="str">
        <f ca="1">IF(ISNUMBER(_xll.BDP($C$5&amp;$C36&amp;$E39&amp;" "&amp;O36&amp;" "&amp;$C$7,$G39,"UpdFreq="&amp;$A$3)),_xll.BDP($C$5&amp;$C36&amp;$E39&amp;" "&amp;O36&amp;" "&amp;$C$7,$G39,"UpdFreq="&amp;$A$3),"")</f>
        <v/>
      </c>
      <c r="P39" s="258" t="str">
        <f ca="1">IF(ISNUMBER(_xll.BDP($C$5&amp;$C36&amp;$E39&amp;" "&amp;P36&amp;" "&amp;$C$7,$G39,"UpdFreq="&amp;$A$3)),_xll.BDP($C$5&amp;$C36&amp;$E39&amp;" "&amp;P36&amp;" "&amp;$C$7,$G39,"UpdFreq="&amp;$A$3),"")</f>
        <v/>
      </c>
      <c r="Q39" s="258" t="str">
        <f ca="1">IF(ISNUMBER(_xll.BDP($C$5&amp;$C36&amp;$E39&amp;" "&amp;Q36&amp;" "&amp;$C$7,$G39,"UpdFreq="&amp;$A$3)),_xll.BDP($C$5&amp;$C36&amp;$E39&amp;" "&amp;Q36&amp;" "&amp;$C$7,$G39,"UpdFreq="&amp;$A$3),"")</f>
        <v/>
      </c>
      <c r="R39" s="258" t="str">
        <f ca="1">IF(ISNUMBER(_xll.BDP($C$5&amp;$C36&amp;$E39&amp;" "&amp;R36&amp;" "&amp;$C$7,$G39,"UpdFreq="&amp;$A$3)),_xll.BDP($C$5&amp;$C36&amp;$E39&amp;" "&amp;R36&amp;" "&amp;$C$7,$G39,"UpdFreq="&amp;$A$3),"")</f>
        <v/>
      </c>
      <c r="S39" s="258" t="str">
        <f ca="1">IF(ISNUMBER(_xll.BDP($C$5&amp;$C36&amp;$E39&amp;" "&amp;S36&amp;" "&amp;$C$7,$G39,"UpdFreq="&amp;$A$3)),_xll.BDP($C$5&amp;$C36&amp;$E39&amp;" "&amp;S36&amp;" "&amp;$C$7,$G39,"UpdFreq="&amp;$A$3),"")</f>
        <v/>
      </c>
      <c r="T39" s="259" t="str">
        <f ca="1">IF(ISNUMBER(_xll.BDP($C$5&amp;$C36&amp;$E39&amp;" "&amp;T36&amp;" "&amp;$C$7,$G39,"UpdFreq="&amp;$A$3)),_xll.BDP($C$5&amp;$C36&amp;$E39&amp;" "&amp;T36&amp;" "&amp;$C$7,$G39,"UpdFreq="&amp;$A$3),"")</f>
        <v/>
      </c>
    </row>
    <row r="40" spans="2:20" ht="13.5" thickBot="1">
      <c r="B40" s="249" t="s">
        <v>187</v>
      </c>
      <c r="C40" s="250" t="e">
        <f ca="1">IF(ISNUMBER($N37),_xll.BDP($C$5&amp;$C36&amp;$E37&amp;" "&amp;N36&amp;" "&amp;$C$7,"OPT_EXPIRE_DT"),_xll.BDP($C$5&amp;$C36&amp;$E37&amp;" "&amp;M36&amp;" "&amp;$C$7,"OPT_EXPIRE_DT"))</f>
        <v>#NAME?</v>
      </c>
      <c r="F40" s="267"/>
      <c r="G40" s="268" t="s">
        <v>57</v>
      </c>
      <c r="H40" s="260" t="str">
        <f ca="1">IF(ISNUMBER(_xll.BDP($C$5&amp;$C36&amp;$E39&amp;" "&amp;H36&amp;" "&amp;$C$7,$G40,"UpdFreq="&amp;$A$3)),_xll.BDP($C$5&amp;$C36&amp;$E39&amp;" "&amp;H36&amp;" "&amp;$C$7,$G40,"UpdFreq="&amp;$A$3),"")</f>
        <v/>
      </c>
      <c r="I40" s="261" t="str">
        <f ca="1">IF(ISNUMBER(_xll.BDP($C$5&amp;$C36&amp;$E39&amp;" "&amp;I36&amp;" "&amp;$C$7,$G40,"UpdFreq="&amp;$A$3)),_xll.BDP($C$5&amp;$C36&amp;$E39&amp;" "&amp;I36&amp;" "&amp;$C$7,$G40,"UpdFreq="&amp;$A$3),"")</f>
        <v/>
      </c>
      <c r="J40" s="261" t="str">
        <f ca="1">IF(ISNUMBER(_xll.BDP($C$5&amp;$C36&amp;$E39&amp;" "&amp;J36&amp;" "&amp;$C$7,$G40,"UpdFreq="&amp;$A$3)),_xll.BDP($C$5&amp;$C36&amp;$E39&amp;" "&amp;J36&amp;" "&amp;$C$7,$G40,"UpdFreq="&amp;$A$3),"")</f>
        <v/>
      </c>
      <c r="K40" s="261" t="str">
        <f ca="1">IF(ISNUMBER(_xll.BDP($C$5&amp;$C36&amp;$E39&amp;" "&amp;K36&amp;" "&amp;$C$7,$G40,"UpdFreq="&amp;$A$3)),_xll.BDP($C$5&amp;$C36&amp;$E39&amp;" "&amp;K36&amp;" "&amp;$C$7,$G40,"UpdFreq="&amp;$A$3),"")</f>
        <v/>
      </c>
      <c r="L40" s="261" t="str">
        <f ca="1">IF(ISNUMBER(_xll.BDP($C$5&amp;$C36&amp;$E39&amp;" "&amp;L36&amp;" "&amp;$C$7,$G40,"UpdFreq="&amp;$A$3)),_xll.BDP($C$5&amp;$C36&amp;$E39&amp;" "&amp;L36&amp;" "&amp;$C$7,$G40,"UpdFreq="&amp;$A$3),"")</f>
        <v/>
      </c>
      <c r="M40" s="261" t="str">
        <f ca="1">IF(ISNUMBER(_xll.BDP($C$5&amp;$C36&amp;$E39&amp;" "&amp;M36&amp;" "&amp;$C$7,$G40,"UpdFreq="&amp;$A$3)),_xll.BDP($C$5&amp;$C36&amp;$E39&amp;" "&amp;M36&amp;" "&amp;$C$7,$G40,"UpdFreq="&amp;$A$3),"")</f>
        <v/>
      </c>
      <c r="N40" s="261" t="str">
        <f ca="1">IF(ISNUMBER(_xll.BDP($C$5&amp;$C36&amp;$E39&amp;" "&amp;N36&amp;" "&amp;$C$7,$G40,"UpdFreq="&amp;$A$3)),_xll.BDP($C$5&amp;$C36&amp;$E39&amp;" "&amp;N36&amp;" "&amp;$C$7,$G40,"UpdFreq="&amp;$A$3),"")</f>
        <v/>
      </c>
      <c r="O40" s="261" t="str">
        <f ca="1">IF(ISNUMBER(_xll.BDP($C$5&amp;$C36&amp;$E39&amp;" "&amp;O36&amp;" "&amp;$C$7,$G40,"UpdFreq="&amp;$A$3)),_xll.BDP($C$5&amp;$C36&amp;$E39&amp;" "&amp;O36&amp;" "&amp;$C$7,$G40,"UpdFreq="&amp;$A$3),"")</f>
        <v/>
      </c>
      <c r="P40" s="261" t="str">
        <f ca="1">IF(ISNUMBER(_xll.BDP($C$5&amp;$C36&amp;$E39&amp;" "&amp;P36&amp;" "&amp;$C$7,$G40,"UpdFreq="&amp;$A$3)),_xll.BDP($C$5&amp;$C36&amp;$E39&amp;" "&amp;P36&amp;" "&amp;$C$7,$G40,"UpdFreq="&amp;$A$3),"")</f>
        <v/>
      </c>
      <c r="Q40" s="261" t="str">
        <f ca="1">IF(ISNUMBER(_xll.BDP($C$5&amp;$C36&amp;$E39&amp;" "&amp;Q36&amp;" "&amp;$C$7,$G40,"UpdFreq="&amp;$A$3)),_xll.BDP($C$5&amp;$C36&amp;$E39&amp;" "&amp;Q36&amp;" "&amp;$C$7,$G40,"UpdFreq="&amp;$A$3),"")</f>
        <v/>
      </c>
      <c r="R40" s="261" t="str">
        <f ca="1">IF(ISNUMBER(_xll.BDP($C$5&amp;$C36&amp;$E39&amp;" "&amp;R36&amp;" "&amp;$C$7,$G40,"UpdFreq="&amp;$A$3)),_xll.BDP($C$5&amp;$C36&amp;$E39&amp;" "&amp;R36&amp;" "&amp;$C$7,$G40,"UpdFreq="&amp;$A$3),"")</f>
        <v/>
      </c>
      <c r="S40" s="261" t="str">
        <f ca="1">IF(ISNUMBER(_xll.BDP($C$5&amp;$C36&amp;$E39&amp;" "&amp;S36&amp;" "&amp;$C$7,$G40,"UpdFreq="&amp;$A$3)),_xll.BDP($C$5&amp;$C36&amp;$E39&amp;" "&amp;S36&amp;" "&amp;$C$7,$G40,"UpdFreq="&amp;$A$3),"")</f>
        <v/>
      </c>
      <c r="T40" s="262" t="str">
        <f ca="1">IF(ISNUMBER(_xll.BDP($C$5&amp;$C36&amp;$E39&amp;" "&amp;T36&amp;" "&amp;$C$7,$G40,"UpdFreq="&amp;$A$3)),_xll.BDP($C$5&amp;$C36&amp;$E39&amp;" "&amp;T36&amp;" "&amp;$C$7,$G40,"UpdFreq="&amp;$A$3),"")</f>
        <v/>
      </c>
    </row>
    <row r="41" spans="2:20" ht="13.5" thickBot="1">
      <c r="G41" s="121"/>
      <c r="H41" s="121"/>
      <c r="K41" s="121"/>
    </row>
    <row r="42" spans="2:20" ht="13.5" thickBot="1">
      <c r="B42" s="241" t="s">
        <v>181</v>
      </c>
      <c r="C42" s="242" t="s">
        <v>193</v>
      </c>
      <c r="F42" s="241" t="s">
        <v>208</v>
      </c>
      <c r="G42" s="121" t="str">
        <f>+$C$5&amp;C42&amp;" "&amp;$C$7</f>
        <v>ERH4 Comdty</v>
      </c>
      <c r="H42" s="251" t="e">
        <f t="shared" ref="H42:M42" ca="1" si="10">I42-$C$6</f>
        <v>#NAME?</v>
      </c>
      <c r="I42" s="252" t="e">
        <f t="shared" ca="1" si="10"/>
        <v>#NAME?</v>
      </c>
      <c r="J42" s="252" t="e">
        <f t="shared" ca="1" si="10"/>
        <v>#NAME?</v>
      </c>
      <c r="K42" s="252" t="e">
        <f t="shared" ca="1" si="10"/>
        <v>#NAME?</v>
      </c>
      <c r="L42" s="252" t="e">
        <f t="shared" ca="1" si="10"/>
        <v>#NAME?</v>
      </c>
      <c r="M42" s="252" t="e">
        <f t="shared" ca="1" si="10"/>
        <v>#NAME?</v>
      </c>
      <c r="N42" s="253" t="e">
        <f ca="1">ROUND($C43/($C$6),0)*$C$6</f>
        <v>#NAME?</v>
      </c>
      <c r="O42" s="252" t="e">
        <f t="shared" ref="O42:T42" ca="1" si="11">N42+$C$6</f>
        <v>#NAME?</v>
      </c>
      <c r="P42" s="252" t="e">
        <f t="shared" ca="1" si="11"/>
        <v>#NAME?</v>
      </c>
      <c r="Q42" s="252" t="e">
        <f t="shared" ca="1" si="11"/>
        <v>#NAME?</v>
      </c>
      <c r="R42" s="252" t="e">
        <f t="shared" ca="1" si="11"/>
        <v>#NAME?</v>
      </c>
      <c r="S42" s="252" t="e">
        <f t="shared" ca="1" si="11"/>
        <v>#NAME?</v>
      </c>
      <c r="T42" s="252" t="e">
        <f t="shared" ca="1" si="11"/>
        <v>#NAME?</v>
      </c>
    </row>
    <row r="43" spans="2:20">
      <c r="B43" s="243" t="s">
        <v>182</v>
      </c>
      <c r="C43" s="244" t="e">
        <f ca="1">AVERAGE(C44:C45)</f>
        <v>#NAME?</v>
      </c>
      <c r="E43" s="121" t="s">
        <v>183</v>
      </c>
      <c r="F43" s="263" t="s">
        <v>184</v>
      </c>
      <c r="G43" s="264" t="s">
        <v>56</v>
      </c>
      <c r="H43" s="254" t="str">
        <f ca="1">IF(ISNUMBER(_xll.BDP($C$5&amp;$C42&amp;$E43&amp;" "&amp;H42&amp;" "&amp;$C$7,$G43,"UpdFreq="&amp;$A$3)),_xll.BDP($C$5&amp;$C42&amp;$E43&amp;" "&amp;H42&amp;" "&amp;$C$7,$G43,"UpdFreq="&amp;$A$3),"")</f>
        <v/>
      </c>
      <c r="I43" s="255" t="str">
        <f ca="1">IF(ISNUMBER(_xll.BDP($C$5&amp;$C42&amp;$E43&amp;" "&amp;I42&amp;" "&amp;$C$7,$G43,"UpdFreq="&amp;$A$3)),_xll.BDP($C$5&amp;$C42&amp;$E43&amp;" "&amp;I42&amp;" "&amp;$C$7,$G43,"UpdFreq="&amp;$A$3),"")</f>
        <v/>
      </c>
      <c r="J43" s="255" t="str">
        <f ca="1">IF(ISNUMBER(_xll.BDP($C$5&amp;$C42&amp;$E43&amp;" "&amp;J42&amp;" "&amp;$C$7,$G43,"UpdFreq="&amp;$A$3)),_xll.BDP($C$5&amp;$C42&amp;$E43&amp;" "&amp;J42&amp;" "&amp;$C$7,$G43,"UpdFreq="&amp;$A$3),"")</f>
        <v/>
      </c>
      <c r="K43" s="255" t="str">
        <f ca="1">IF(ISNUMBER(_xll.BDP($C$5&amp;$C42&amp;$E43&amp;" "&amp;K42&amp;" "&amp;$C$7,$G43,"UpdFreq="&amp;$A$3)),_xll.BDP($C$5&amp;$C42&amp;$E43&amp;" "&amp;K42&amp;" "&amp;$C$7,$G43,"UpdFreq="&amp;$A$3),"")</f>
        <v/>
      </c>
      <c r="L43" s="255" t="str">
        <f ca="1">IF(ISNUMBER(_xll.BDP($C$5&amp;$C42&amp;$E43&amp;" "&amp;L42&amp;" "&amp;$C$7,$G43,"UpdFreq="&amp;$A$3)),_xll.BDP($C$5&amp;$C42&amp;$E43&amp;" "&amp;L42&amp;" "&amp;$C$7,$G43,"UpdFreq="&amp;$A$3),"")</f>
        <v/>
      </c>
      <c r="M43" s="255" t="str">
        <f ca="1">IF(ISNUMBER(_xll.BDP($C$5&amp;$C42&amp;$E43&amp;" "&amp;M42&amp;" "&amp;$C$7,$G43,"UpdFreq="&amp;$A$3)),_xll.BDP($C$5&amp;$C42&amp;$E43&amp;" "&amp;M42&amp;" "&amp;$C$7,$G43,"UpdFreq="&amp;$A$3),"")</f>
        <v/>
      </c>
      <c r="N43" s="255" t="str">
        <f ca="1">IF(ISNUMBER(_xll.BDP($C$5&amp;$C42&amp;$E43&amp;" "&amp;N42&amp;" "&amp;$C$7,$G43,"UpdFreq="&amp;$A$3)),_xll.BDP($C$5&amp;$C42&amp;$E43&amp;" "&amp;N42&amp;" "&amp;$C$7,$G43,"UpdFreq="&amp;$A$3),"")</f>
        <v/>
      </c>
      <c r="O43" s="255" t="str">
        <f ca="1">IF(ISNUMBER(_xll.BDP($C$5&amp;$C42&amp;$E43&amp;" "&amp;O42&amp;" "&amp;$C$7,$G43,"UpdFreq="&amp;$A$3)),_xll.BDP($C$5&amp;$C42&amp;$E43&amp;" "&amp;O42&amp;" "&amp;$C$7,$G43,"UpdFreq="&amp;$A$3),"")</f>
        <v/>
      </c>
      <c r="P43" s="255" t="str">
        <f ca="1">IF(ISNUMBER(_xll.BDP($C$5&amp;$C42&amp;$E43&amp;" "&amp;P42&amp;" "&amp;$C$7,$G43,"UpdFreq="&amp;$A$3)),_xll.BDP($C$5&amp;$C42&amp;$E43&amp;" "&amp;P42&amp;" "&amp;$C$7,$G43,"UpdFreq="&amp;$A$3),"")</f>
        <v/>
      </c>
      <c r="Q43" s="255" t="str">
        <f ca="1">IF(ISNUMBER(_xll.BDP($C$5&amp;$C42&amp;$E43&amp;" "&amp;Q42&amp;" "&amp;$C$7,$G43,"UpdFreq="&amp;$A$3)),_xll.BDP($C$5&amp;$C42&amp;$E43&amp;" "&amp;Q42&amp;" "&amp;$C$7,$G43,"UpdFreq="&amp;$A$3),"")</f>
        <v/>
      </c>
      <c r="R43" s="255" t="str">
        <f ca="1">IF(ISNUMBER(_xll.BDP($C$5&amp;$C42&amp;$E43&amp;" "&amp;R42&amp;" "&amp;$C$7,$G43,"UpdFreq="&amp;$A$3)),_xll.BDP($C$5&amp;$C42&amp;$E43&amp;" "&amp;R42&amp;" "&amp;$C$7,$G43,"UpdFreq="&amp;$A$3),"")</f>
        <v/>
      </c>
      <c r="S43" s="255" t="str">
        <f ca="1">IF(ISNUMBER(_xll.BDP($C$5&amp;$C42&amp;$E43&amp;" "&amp;S42&amp;" "&amp;$C$7,$G43,"UpdFreq="&amp;$A$3)),_xll.BDP($C$5&amp;$C42&amp;$E43&amp;" "&amp;S42&amp;" "&amp;$C$7,$G43,"UpdFreq="&amp;$A$3),"")</f>
        <v/>
      </c>
      <c r="T43" s="256" t="str">
        <f ca="1">IF(ISNUMBER(_xll.BDP($C$5&amp;$C42&amp;$E43&amp;" "&amp;T42&amp;" "&amp;$C$7,$G43,"UpdFreq="&amp;$A$3)),_xll.BDP($C$5&amp;$C42&amp;$E43&amp;" "&amp;T42&amp;" "&amp;$C$7,$G43,"UpdFreq="&amp;$A$3),"")</f>
        <v/>
      </c>
    </row>
    <row r="44" spans="2:20">
      <c r="B44" s="245" t="s">
        <v>57</v>
      </c>
      <c r="C44" s="246" t="e">
        <f ca="1">_xll.BDP($C$5&amp;C42&amp;" "&amp;$C$7, G45)</f>
        <v>#NAME?</v>
      </c>
      <c r="F44" s="265"/>
      <c r="G44" s="266" t="s">
        <v>57</v>
      </c>
      <c r="H44" s="257" t="str">
        <f ca="1">IF(ISNUMBER(_xll.BDP($C$5&amp;$C42&amp;$E43&amp;" "&amp;H42&amp;" "&amp;$C$7,$G44,"UpdFreq="&amp;$A$3)),_xll.BDP($C$5&amp;$C42&amp;$E43&amp;" "&amp;H42&amp;" "&amp;$C$7,$G44,"UpdFreq="&amp;$A$3),"")</f>
        <v/>
      </c>
      <c r="I44" s="258" t="str">
        <f ca="1">IF(ISNUMBER(_xll.BDP($C$5&amp;$C42&amp;$E43&amp;" "&amp;I42&amp;" "&amp;$C$7,$G44,"UpdFreq="&amp;$A$3)),_xll.BDP($C$5&amp;$C42&amp;$E43&amp;" "&amp;I42&amp;" "&amp;$C$7,$G44,"UpdFreq="&amp;$A$3),"")</f>
        <v/>
      </c>
      <c r="J44" s="258" t="str">
        <f ca="1">IF(ISNUMBER(_xll.BDP($C$5&amp;$C42&amp;$E43&amp;" "&amp;J42&amp;" "&amp;$C$7,$G44,"UpdFreq="&amp;$A$3)),_xll.BDP($C$5&amp;$C42&amp;$E43&amp;" "&amp;J42&amp;" "&amp;$C$7,$G44,"UpdFreq="&amp;$A$3),"")</f>
        <v/>
      </c>
      <c r="K44" s="258" t="str">
        <f ca="1">IF(ISNUMBER(_xll.BDP($C$5&amp;$C42&amp;$E43&amp;" "&amp;K42&amp;" "&amp;$C$7,$G44,"UpdFreq="&amp;$A$3)),_xll.BDP($C$5&amp;$C42&amp;$E43&amp;" "&amp;K42&amp;" "&amp;$C$7,$G44,"UpdFreq="&amp;$A$3),"")</f>
        <v/>
      </c>
      <c r="L44" s="258" t="str">
        <f ca="1">IF(ISNUMBER(_xll.BDP($C$5&amp;$C42&amp;$E43&amp;" "&amp;L42&amp;" "&amp;$C$7,$G44,"UpdFreq="&amp;$A$3)),_xll.BDP($C$5&amp;$C42&amp;$E43&amp;" "&amp;L42&amp;" "&amp;$C$7,$G44,"UpdFreq="&amp;$A$3),"")</f>
        <v/>
      </c>
      <c r="M44" s="258" t="str">
        <f ca="1">IF(ISNUMBER(_xll.BDP($C$5&amp;$C42&amp;$E43&amp;" "&amp;M42&amp;" "&amp;$C$7,$G44,"UpdFreq="&amp;$A$3)),_xll.BDP($C$5&amp;$C42&amp;$E43&amp;" "&amp;M42&amp;" "&amp;$C$7,$G44,"UpdFreq="&amp;$A$3),"")</f>
        <v/>
      </c>
      <c r="N44" s="258" t="str">
        <f ca="1">IF(ISNUMBER(_xll.BDP($C$5&amp;$C42&amp;$E43&amp;" "&amp;N42&amp;" "&amp;$C$7,$G44,"UpdFreq="&amp;$A$3)),_xll.BDP($C$5&amp;$C42&amp;$E43&amp;" "&amp;N42&amp;" "&amp;$C$7,$G44,"UpdFreq="&amp;$A$3),"")</f>
        <v/>
      </c>
      <c r="O44" s="258" t="str">
        <f ca="1">IF(ISNUMBER(_xll.BDP($C$5&amp;$C42&amp;$E43&amp;" "&amp;O42&amp;" "&amp;$C$7,$G44,"UpdFreq="&amp;$A$3)),_xll.BDP($C$5&amp;$C42&amp;$E43&amp;" "&amp;O42&amp;" "&amp;$C$7,$G44,"UpdFreq="&amp;$A$3),"")</f>
        <v/>
      </c>
      <c r="P44" s="258" t="str">
        <f ca="1">IF(ISNUMBER(_xll.BDP($C$5&amp;$C42&amp;$E43&amp;" "&amp;P42&amp;" "&amp;$C$7,$G44,"UpdFreq="&amp;$A$3)),_xll.BDP($C$5&amp;$C42&amp;$E43&amp;" "&amp;P42&amp;" "&amp;$C$7,$G44,"UpdFreq="&amp;$A$3),"")</f>
        <v/>
      </c>
      <c r="Q44" s="258" t="str">
        <f ca="1">IF(ISNUMBER(_xll.BDP($C$5&amp;$C42&amp;$E43&amp;" "&amp;Q42&amp;" "&amp;$C$7,$G44,"UpdFreq="&amp;$A$3)),_xll.BDP($C$5&amp;$C42&amp;$E43&amp;" "&amp;Q42&amp;" "&amp;$C$7,$G44,"UpdFreq="&amp;$A$3),"")</f>
        <v/>
      </c>
      <c r="R44" s="258" t="str">
        <f ca="1">IF(ISNUMBER(_xll.BDP($C$5&amp;$C42&amp;$E43&amp;" "&amp;R42&amp;" "&amp;$C$7,$G44,"UpdFreq="&amp;$A$3)),_xll.BDP($C$5&amp;$C42&amp;$E43&amp;" "&amp;R42&amp;" "&amp;$C$7,$G44,"UpdFreq="&amp;$A$3),"")</f>
        <v/>
      </c>
      <c r="S44" s="258" t="str">
        <f ca="1">IF(ISNUMBER(_xll.BDP($C$5&amp;$C42&amp;$E43&amp;" "&amp;S42&amp;" "&amp;$C$7,$G44,"UpdFreq="&amp;$A$3)),_xll.BDP($C$5&amp;$C42&amp;$E43&amp;" "&amp;S42&amp;" "&amp;$C$7,$G44,"UpdFreq="&amp;$A$3),"")</f>
        <v/>
      </c>
      <c r="T44" s="259" t="str">
        <f ca="1">IF(ISNUMBER(_xll.BDP($C$5&amp;$C42&amp;$E43&amp;" "&amp;T42&amp;" "&amp;$C$7,$G44,"UpdFreq="&amp;$A$3)),_xll.BDP($C$5&amp;$C42&amp;$E43&amp;" "&amp;T42&amp;" "&amp;$C$7,$G44,"UpdFreq="&amp;$A$3),"")</f>
        <v/>
      </c>
    </row>
    <row r="45" spans="2:20">
      <c r="B45" s="247" t="s">
        <v>56</v>
      </c>
      <c r="C45" s="248" t="e">
        <f ca="1">_xll.BDP($C$5&amp;C42&amp;" "&amp;$C$7, G46)</f>
        <v>#NAME?</v>
      </c>
      <c r="E45" s="121" t="s">
        <v>185</v>
      </c>
      <c r="F45" s="265" t="s">
        <v>186</v>
      </c>
      <c r="G45" s="266" t="s">
        <v>56</v>
      </c>
      <c r="H45" s="257" t="str">
        <f ca="1">IF(ISNUMBER(_xll.BDP($C$5&amp;$C42&amp;$E45&amp;" "&amp;H42&amp;" "&amp;$C$7,$G45,"UpdFreq="&amp;$A$3)),_xll.BDP($C$5&amp;$C42&amp;$E45&amp;" "&amp;H42&amp;" "&amp;$C$7,$G45,"UpdFreq="&amp;$A$3),"")</f>
        <v/>
      </c>
      <c r="I45" s="258" t="str">
        <f ca="1">IF(ISNUMBER(_xll.BDP($C$5&amp;$C42&amp;$E45&amp;" "&amp;I42&amp;" "&amp;$C$7,$G45,"UpdFreq="&amp;$A$3)),_xll.BDP($C$5&amp;$C42&amp;$E45&amp;" "&amp;I42&amp;" "&amp;$C$7,$G45,"UpdFreq="&amp;$A$3),"")</f>
        <v/>
      </c>
      <c r="J45" s="258" t="str">
        <f ca="1">IF(ISNUMBER(_xll.BDP($C$5&amp;$C42&amp;$E45&amp;" "&amp;J42&amp;" "&amp;$C$7,$G45,"UpdFreq="&amp;$A$3)),_xll.BDP($C$5&amp;$C42&amp;$E45&amp;" "&amp;J42&amp;" "&amp;$C$7,$G45,"UpdFreq="&amp;$A$3),"")</f>
        <v/>
      </c>
      <c r="K45" s="258" t="str">
        <f ca="1">IF(ISNUMBER(_xll.BDP($C$5&amp;$C42&amp;$E45&amp;" "&amp;K42&amp;" "&amp;$C$7,$G45,"UpdFreq="&amp;$A$3)),_xll.BDP($C$5&amp;$C42&amp;$E45&amp;" "&amp;K42&amp;" "&amp;$C$7,$G45,"UpdFreq="&amp;$A$3),"")</f>
        <v/>
      </c>
      <c r="L45" s="258" t="str">
        <f ca="1">IF(ISNUMBER(_xll.BDP($C$5&amp;$C42&amp;$E45&amp;" "&amp;L42&amp;" "&amp;$C$7,$G45,"UpdFreq="&amp;$A$3)),_xll.BDP($C$5&amp;$C42&amp;$E45&amp;" "&amp;L42&amp;" "&amp;$C$7,$G45,"UpdFreq="&amp;$A$3),"")</f>
        <v/>
      </c>
      <c r="M45" s="258" t="str">
        <f ca="1">IF(ISNUMBER(_xll.BDP($C$5&amp;$C42&amp;$E45&amp;" "&amp;M42&amp;" "&amp;$C$7,$G45,"UpdFreq="&amp;$A$3)),_xll.BDP($C$5&amp;$C42&amp;$E45&amp;" "&amp;M42&amp;" "&amp;$C$7,$G45,"UpdFreq="&amp;$A$3),"")</f>
        <v/>
      </c>
      <c r="N45" s="258" t="str">
        <f ca="1">IF(ISNUMBER(_xll.BDP($C$5&amp;$C42&amp;$E45&amp;" "&amp;N42&amp;" "&amp;$C$7,$G45,"UpdFreq="&amp;$A$3)),_xll.BDP($C$5&amp;$C42&amp;$E45&amp;" "&amp;N42&amp;" "&amp;$C$7,$G45,"UpdFreq="&amp;$A$3),"")</f>
        <v/>
      </c>
      <c r="O45" s="258" t="str">
        <f ca="1">IF(ISNUMBER(_xll.BDP($C$5&amp;$C42&amp;$E45&amp;" "&amp;O42&amp;" "&amp;$C$7,$G45,"UpdFreq="&amp;$A$3)),_xll.BDP($C$5&amp;$C42&amp;$E45&amp;" "&amp;O42&amp;" "&amp;$C$7,$G45,"UpdFreq="&amp;$A$3),"")</f>
        <v/>
      </c>
      <c r="P45" s="258" t="str">
        <f ca="1">IF(ISNUMBER(_xll.BDP($C$5&amp;$C42&amp;$E45&amp;" "&amp;P42&amp;" "&amp;$C$7,$G45,"UpdFreq="&amp;$A$3)),_xll.BDP($C$5&amp;$C42&amp;$E45&amp;" "&amp;P42&amp;" "&amp;$C$7,$G45,"UpdFreq="&amp;$A$3),"")</f>
        <v/>
      </c>
      <c r="Q45" s="258" t="str">
        <f ca="1">IF(ISNUMBER(_xll.BDP($C$5&amp;$C42&amp;$E45&amp;" "&amp;Q42&amp;" "&amp;$C$7,$G45,"UpdFreq="&amp;$A$3)),_xll.BDP($C$5&amp;$C42&amp;$E45&amp;" "&amp;Q42&amp;" "&amp;$C$7,$G45,"UpdFreq="&amp;$A$3),"")</f>
        <v/>
      </c>
      <c r="R45" s="258" t="str">
        <f ca="1">IF(ISNUMBER(_xll.BDP($C$5&amp;$C42&amp;$E45&amp;" "&amp;R42&amp;" "&amp;$C$7,$G45,"UpdFreq="&amp;$A$3)),_xll.BDP($C$5&amp;$C42&amp;$E45&amp;" "&amp;R42&amp;" "&amp;$C$7,$G45,"UpdFreq="&amp;$A$3),"")</f>
        <v/>
      </c>
      <c r="S45" s="258" t="str">
        <f ca="1">IF(ISNUMBER(_xll.BDP($C$5&amp;$C42&amp;$E45&amp;" "&amp;S42&amp;" "&amp;$C$7,$G45,"UpdFreq="&amp;$A$3)),_xll.BDP($C$5&amp;$C42&amp;$E45&amp;" "&amp;S42&amp;" "&amp;$C$7,$G45,"UpdFreq="&amp;$A$3),"")</f>
        <v/>
      </c>
      <c r="T45" s="259" t="str">
        <f ca="1">IF(ISNUMBER(_xll.BDP($C$5&amp;$C42&amp;$E45&amp;" "&amp;T42&amp;" "&amp;$C$7,$G45,"UpdFreq="&amp;$A$3)),_xll.BDP($C$5&amp;$C42&amp;$E45&amp;" "&amp;T42&amp;" "&amp;$C$7,$G45,"UpdFreq="&amp;$A$3),"")</f>
        <v/>
      </c>
    </row>
    <row r="46" spans="2:20" ht="13.5" thickBot="1">
      <c r="B46" s="249" t="s">
        <v>187</v>
      </c>
      <c r="C46" s="250" t="e">
        <f ca="1">IF(ISNUMBER($N43),_xll.BDP($C$5&amp;$C42&amp;$E43&amp;" "&amp;N42&amp;" "&amp;$C$7,"OPT_EXPIRE_DT"),_xll.BDP($C$5&amp;$C42&amp;$E43&amp;" "&amp;M42&amp;" "&amp;$C$7,"OPT_EXPIRE_DT"))</f>
        <v>#NAME?</v>
      </c>
      <c r="F46" s="267"/>
      <c r="G46" s="268" t="s">
        <v>57</v>
      </c>
      <c r="H46" s="260" t="str">
        <f ca="1">IF(ISNUMBER(_xll.BDP($C$5&amp;$C42&amp;$E45&amp;" "&amp;H42&amp;" "&amp;$C$7,$G46,"UpdFreq="&amp;$A$3)),_xll.BDP($C$5&amp;$C42&amp;$E45&amp;" "&amp;H42&amp;" "&amp;$C$7,$G46,"UpdFreq="&amp;$A$3),"")</f>
        <v/>
      </c>
      <c r="I46" s="261" t="str">
        <f ca="1">IF(ISNUMBER(_xll.BDP($C$5&amp;$C42&amp;$E45&amp;" "&amp;I42&amp;" "&amp;$C$7,$G46,"UpdFreq="&amp;$A$3)),_xll.BDP($C$5&amp;$C42&amp;$E45&amp;" "&amp;I42&amp;" "&amp;$C$7,$G46,"UpdFreq="&amp;$A$3),"")</f>
        <v/>
      </c>
      <c r="J46" s="261" t="str">
        <f ca="1">IF(ISNUMBER(_xll.BDP($C$5&amp;$C42&amp;$E45&amp;" "&amp;J42&amp;" "&amp;$C$7,$G46,"UpdFreq="&amp;$A$3)),_xll.BDP($C$5&amp;$C42&amp;$E45&amp;" "&amp;J42&amp;" "&amp;$C$7,$G46,"UpdFreq="&amp;$A$3),"")</f>
        <v/>
      </c>
      <c r="K46" s="261" t="str">
        <f ca="1">IF(ISNUMBER(_xll.BDP($C$5&amp;$C42&amp;$E45&amp;" "&amp;K42&amp;" "&amp;$C$7,$G46,"UpdFreq="&amp;$A$3)),_xll.BDP($C$5&amp;$C42&amp;$E45&amp;" "&amp;K42&amp;" "&amp;$C$7,$G46,"UpdFreq="&amp;$A$3),"")</f>
        <v/>
      </c>
      <c r="L46" s="261" t="str">
        <f ca="1">IF(ISNUMBER(_xll.BDP($C$5&amp;$C42&amp;$E45&amp;" "&amp;L42&amp;" "&amp;$C$7,$G46,"UpdFreq="&amp;$A$3)),_xll.BDP($C$5&amp;$C42&amp;$E45&amp;" "&amp;L42&amp;" "&amp;$C$7,$G46,"UpdFreq="&amp;$A$3),"")</f>
        <v/>
      </c>
      <c r="M46" s="261" t="str">
        <f ca="1">IF(ISNUMBER(_xll.BDP($C$5&amp;$C42&amp;$E45&amp;" "&amp;M42&amp;" "&amp;$C$7,$G46,"UpdFreq="&amp;$A$3)),_xll.BDP($C$5&amp;$C42&amp;$E45&amp;" "&amp;M42&amp;" "&amp;$C$7,$G46,"UpdFreq="&amp;$A$3),"")</f>
        <v/>
      </c>
      <c r="N46" s="261" t="str">
        <f ca="1">IF(ISNUMBER(_xll.BDP($C$5&amp;$C42&amp;$E45&amp;" "&amp;N42&amp;" "&amp;$C$7,$G46,"UpdFreq="&amp;$A$3)),_xll.BDP($C$5&amp;$C42&amp;$E45&amp;" "&amp;N42&amp;" "&amp;$C$7,$G46,"UpdFreq="&amp;$A$3),"")</f>
        <v/>
      </c>
      <c r="O46" s="261" t="str">
        <f ca="1">IF(ISNUMBER(_xll.BDP($C$5&amp;$C42&amp;$E45&amp;" "&amp;O42&amp;" "&amp;$C$7,$G46,"UpdFreq="&amp;$A$3)),_xll.BDP($C$5&amp;$C42&amp;$E45&amp;" "&amp;O42&amp;" "&amp;$C$7,$G46,"UpdFreq="&amp;$A$3),"")</f>
        <v/>
      </c>
      <c r="P46" s="261" t="str">
        <f ca="1">IF(ISNUMBER(_xll.BDP($C$5&amp;$C42&amp;$E45&amp;" "&amp;P42&amp;" "&amp;$C$7,$G46,"UpdFreq="&amp;$A$3)),_xll.BDP($C$5&amp;$C42&amp;$E45&amp;" "&amp;P42&amp;" "&amp;$C$7,$G46,"UpdFreq="&amp;$A$3),"")</f>
        <v/>
      </c>
      <c r="Q46" s="261" t="str">
        <f ca="1">IF(ISNUMBER(_xll.BDP($C$5&amp;$C42&amp;$E45&amp;" "&amp;Q42&amp;" "&amp;$C$7,$G46,"UpdFreq="&amp;$A$3)),_xll.BDP($C$5&amp;$C42&amp;$E45&amp;" "&amp;Q42&amp;" "&amp;$C$7,$G46,"UpdFreq="&amp;$A$3),"")</f>
        <v/>
      </c>
      <c r="R46" s="261" t="str">
        <f ca="1">IF(ISNUMBER(_xll.BDP($C$5&amp;$C42&amp;$E45&amp;" "&amp;R42&amp;" "&amp;$C$7,$G46,"UpdFreq="&amp;$A$3)),_xll.BDP($C$5&amp;$C42&amp;$E45&amp;" "&amp;R42&amp;" "&amp;$C$7,$G46,"UpdFreq="&amp;$A$3),"")</f>
        <v/>
      </c>
      <c r="S46" s="261" t="str">
        <f ca="1">IF(ISNUMBER(_xll.BDP($C$5&amp;$C42&amp;$E45&amp;" "&amp;S42&amp;" "&amp;$C$7,$G46,"UpdFreq="&amp;$A$3)),_xll.BDP($C$5&amp;$C42&amp;$E45&amp;" "&amp;S42&amp;" "&amp;$C$7,$G46,"UpdFreq="&amp;$A$3),"")</f>
        <v/>
      </c>
      <c r="T46" s="262" t="str">
        <f ca="1">IF(ISNUMBER(_xll.BDP($C$5&amp;$C42&amp;$E45&amp;" "&amp;T42&amp;" "&amp;$C$7,$G46,"UpdFreq="&amp;$A$3)),_xll.BDP($C$5&amp;$C42&amp;$E45&amp;" "&amp;T42&amp;" "&amp;$C$7,$G46,"UpdFreq="&amp;$A$3),"")</f>
        <v/>
      </c>
    </row>
    <row r="47" spans="2:20" ht="13.5" thickBot="1">
      <c r="G47" s="121"/>
      <c r="H47" s="121"/>
      <c r="K47" s="121"/>
    </row>
    <row r="48" spans="2:20" ht="13.5" thickBot="1">
      <c r="B48" s="241" t="s">
        <v>181</v>
      </c>
      <c r="C48" s="242" t="s">
        <v>194</v>
      </c>
      <c r="F48" s="241" t="s">
        <v>208</v>
      </c>
      <c r="G48" s="121" t="str">
        <f>+$C$5&amp;C48&amp;" "&amp;$C$7</f>
        <v>ERM4 Comdty</v>
      </c>
      <c r="H48" s="251" t="e">
        <f t="shared" ref="H48:M48" ca="1" si="12">I48-$C$6</f>
        <v>#NAME?</v>
      </c>
      <c r="I48" s="252" t="e">
        <f t="shared" ca="1" si="12"/>
        <v>#NAME?</v>
      </c>
      <c r="J48" s="252" t="e">
        <f t="shared" ca="1" si="12"/>
        <v>#NAME?</v>
      </c>
      <c r="K48" s="252" t="e">
        <f t="shared" ca="1" si="12"/>
        <v>#NAME?</v>
      </c>
      <c r="L48" s="252" t="e">
        <f t="shared" ca="1" si="12"/>
        <v>#NAME?</v>
      </c>
      <c r="M48" s="252" t="e">
        <f t="shared" ca="1" si="12"/>
        <v>#NAME?</v>
      </c>
      <c r="N48" s="253" t="e">
        <f ca="1">ROUND($C49/($C$6),0)*$C$6</f>
        <v>#NAME?</v>
      </c>
      <c r="O48" s="252" t="e">
        <f t="shared" ref="O48:T48" ca="1" si="13">N48+$C$6</f>
        <v>#NAME?</v>
      </c>
      <c r="P48" s="252" t="e">
        <f t="shared" ca="1" si="13"/>
        <v>#NAME?</v>
      </c>
      <c r="Q48" s="252" t="e">
        <f t="shared" ca="1" si="13"/>
        <v>#NAME?</v>
      </c>
      <c r="R48" s="252" t="e">
        <f t="shared" ca="1" si="13"/>
        <v>#NAME?</v>
      </c>
      <c r="S48" s="252" t="e">
        <f t="shared" ca="1" si="13"/>
        <v>#NAME?</v>
      </c>
      <c r="T48" s="252" t="e">
        <f t="shared" ca="1" si="13"/>
        <v>#NAME?</v>
      </c>
    </row>
    <row r="49" spans="2:20">
      <c r="B49" s="243" t="s">
        <v>182</v>
      </c>
      <c r="C49" s="244" t="e">
        <f ca="1">AVERAGE(C50:C51)</f>
        <v>#NAME?</v>
      </c>
      <c r="E49" s="121" t="s">
        <v>183</v>
      </c>
      <c r="F49" s="263" t="s">
        <v>184</v>
      </c>
      <c r="G49" s="264" t="s">
        <v>56</v>
      </c>
      <c r="H49" s="254" t="str">
        <f ca="1">IF(ISNUMBER(_xll.BDP($C$5&amp;$C48&amp;$E49&amp;" "&amp;H48&amp;" "&amp;$C$7,$G49,"UpdFreq="&amp;$A$3)),_xll.BDP($C$5&amp;$C48&amp;$E49&amp;" "&amp;H48&amp;" "&amp;$C$7,$G49,"UpdFreq="&amp;$A$3),"")</f>
        <v/>
      </c>
      <c r="I49" s="255" t="str">
        <f ca="1">IF(ISNUMBER(_xll.BDP($C$5&amp;$C48&amp;$E49&amp;" "&amp;I48&amp;" "&amp;$C$7,$G49,"UpdFreq="&amp;$A$3)),_xll.BDP($C$5&amp;$C48&amp;$E49&amp;" "&amp;I48&amp;" "&amp;$C$7,$G49,"UpdFreq="&amp;$A$3),"")</f>
        <v/>
      </c>
      <c r="J49" s="255" t="str">
        <f ca="1">IF(ISNUMBER(_xll.BDP($C$5&amp;$C48&amp;$E49&amp;" "&amp;J48&amp;" "&amp;$C$7,$G49,"UpdFreq="&amp;$A$3)),_xll.BDP($C$5&amp;$C48&amp;$E49&amp;" "&amp;J48&amp;" "&amp;$C$7,$G49,"UpdFreq="&amp;$A$3),"")</f>
        <v/>
      </c>
      <c r="K49" s="255" t="str">
        <f ca="1">IF(ISNUMBER(_xll.BDP($C$5&amp;$C48&amp;$E49&amp;" "&amp;K48&amp;" "&amp;$C$7,$G49,"UpdFreq="&amp;$A$3)),_xll.BDP($C$5&amp;$C48&amp;$E49&amp;" "&amp;K48&amp;" "&amp;$C$7,$G49,"UpdFreq="&amp;$A$3),"")</f>
        <v/>
      </c>
      <c r="L49" s="255" t="str">
        <f ca="1">IF(ISNUMBER(_xll.BDP($C$5&amp;$C48&amp;$E49&amp;" "&amp;L48&amp;" "&amp;$C$7,$G49,"UpdFreq="&amp;$A$3)),_xll.BDP($C$5&amp;$C48&amp;$E49&amp;" "&amp;L48&amp;" "&amp;$C$7,$G49,"UpdFreq="&amp;$A$3),"")</f>
        <v/>
      </c>
      <c r="M49" s="255" t="str">
        <f ca="1">IF(ISNUMBER(_xll.BDP($C$5&amp;$C48&amp;$E49&amp;" "&amp;M48&amp;" "&amp;$C$7,$G49,"UpdFreq="&amp;$A$3)),_xll.BDP($C$5&amp;$C48&amp;$E49&amp;" "&amp;M48&amp;" "&amp;$C$7,$G49,"UpdFreq="&amp;$A$3),"")</f>
        <v/>
      </c>
      <c r="N49" s="255" t="str">
        <f ca="1">IF(ISNUMBER(_xll.BDP($C$5&amp;$C48&amp;$E49&amp;" "&amp;N48&amp;" "&amp;$C$7,$G49,"UpdFreq="&amp;$A$3)),_xll.BDP($C$5&amp;$C48&amp;$E49&amp;" "&amp;N48&amp;" "&amp;$C$7,$G49,"UpdFreq="&amp;$A$3),"")</f>
        <v/>
      </c>
      <c r="O49" s="255" t="str">
        <f ca="1">IF(ISNUMBER(_xll.BDP($C$5&amp;$C48&amp;$E49&amp;" "&amp;O48&amp;" "&amp;$C$7,$G49,"UpdFreq="&amp;$A$3)),_xll.BDP($C$5&amp;$C48&amp;$E49&amp;" "&amp;O48&amp;" "&amp;$C$7,$G49,"UpdFreq="&amp;$A$3),"")</f>
        <v/>
      </c>
      <c r="P49" s="255" t="str">
        <f ca="1">IF(ISNUMBER(_xll.BDP($C$5&amp;$C48&amp;$E49&amp;" "&amp;P48&amp;" "&amp;$C$7,$G49,"UpdFreq="&amp;$A$3)),_xll.BDP($C$5&amp;$C48&amp;$E49&amp;" "&amp;P48&amp;" "&amp;$C$7,$G49,"UpdFreq="&amp;$A$3),"")</f>
        <v/>
      </c>
      <c r="Q49" s="255" t="str">
        <f ca="1">IF(ISNUMBER(_xll.BDP($C$5&amp;$C48&amp;$E49&amp;" "&amp;Q48&amp;" "&amp;$C$7,$G49,"UpdFreq="&amp;$A$3)),_xll.BDP($C$5&amp;$C48&amp;$E49&amp;" "&amp;Q48&amp;" "&amp;$C$7,$G49,"UpdFreq="&amp;$A$3),"")</f>
        <v/>
      </c>
      <c r="R49" s="255" t="str">
        <f ca="1">IF(ISNUMBER(_xll.BDP($C$5&amp;$C48&amp;$E49&amp;" "&amp;R48&amp;" "&amp;$C$7,$G49,"UpdFreq="&amp;$A$3)),_xll.BDP($C$5&amp;$C48&amp;$E49&amp;" "&amp;R48&amp;" "&amp;$C$7,$G49,"UpdFreq="&amp;$A$3),"")</f>
        <v/>
      </c>
      <c r="S49" s="255" t="str">
        <f ca="1">IF(ISNUMBER(_xll.BDP($C$5&amp;$C48&amp;$E49&amp;" "&amp;S48&amp;" "&amp;$C$7,$G49,"UpdFreq="&amp;$A$3)),_xll.BDP($C$5&amp;$C48&amp;$E49&amp;" "&amp;S48&amp;" "&amp;$C$7,$G49,"UpdFreq="&amp;$A$3),"")</f>
        <v/>
      </c>
      <c r="T49" s="256" t="str">
        <f ca="1">IF(ISNUMBER(_xll.BDP($C$5&amp;$C48&amp;$E49&amp;" "&amp;T48&amp;" "&amp;$C$7,$G49,"UpdFreq="&amp;$A$3)),_xll.BDP($C$5&amp;$C48&amp;$E49&amp;" "&amp;T48&amp;" "&amp;$C$7,$G49,"UpdFreq="&amp;$A$3),"")</f>
        <v/>
      </c>
    </row>
    <row r="50" spans="2:20">
      <c r="B50" s="245" t="s">
        <v>57</v>
      </c>
      <c r="C50" s="246" t="e">
        <f ca="1">_xll.BDP($C$5&amp;C48&amp;" "&amp;$C$7, G51)</f>
        <v>#NAME?</v>
      </c>
      <c r="F50" s="265"/>
      <c r="G50" s="266" t="s">
        <v>57</v>
      </c>
      <c r="H50" s="257" t="str">
        <f ca="1">IF(ISNUMBER(_xll.BDP($C$5&amp;$C48&amp;$E49&amp;" "&amp;H48&amp;" "&amp;$C$7,$G50,"UpdFreq="&amp;$A$3)),_xll.BDP($C$5&amp;$C48&amp;$E49&amp;" "&amp;H48&amp;" "&amp;$C$7,$G50,"UpdFreq="&amp;$A$3),"")</f>
        <v/>
      </c>
      <c r="I50" s="258" t="str">
        <f ca="1">IF(ISNUMBER(_xll.BDP($C$5&amp;$C48&amp;$E49&amp;" "&amp;I48&amp;" "&amp;$C$7,$G50,"UpdFreq="&amp;$A$3)),_xll.BDP($C$5&amp;$C48&amp;$E49&amp;" "&amp;I48&amp;" "&amp;$C$7,$G50,"UpdFreq="&amp;$A$3),"")</f>
        <v/>
      </c>
      <c r="J50" s="258" t="str">
        <f ca="1">IF(ISNUMBER(_xll.BDP($C$5&amp;$C48&amp;$E49&amp;" "&amp;J48&amp;" "&amp;$C$7,$G50,"UpdFreq="&amp;$A$3)),_xll.BDP($C$5&amp;$C48&amp;$E49&amp;" "&amp;J48&amp;" "&amp;$C$7,$G50,"UpdFreq="&amp;$A$3),"")</f>
        <v/>
      </c>
      <c r="K50" s="258" t="str">
        <f ca="1">IF(ISNUMBER(_xll.BDP($C$5&amp;$C48&amp;$E49&amp;" "&amp;K48&amp;" "&amp;$C$7,$G50,"UpdFreq="&amp;$A$3)),_xll.BDP($C$5&amp;$C48&amp;$E49&amp;" "&amp;K48&amp;" "&amp;$C$7,$G50,"UpdFreq="&amp;$A$3),"")</f>
        <v/>
      </c>
      <c r="L50" s="258" t="str">
        <f ca="1">IF(ISNUMBER(_xll.BDP($C$5&amp;$C48&amp;$E49&amp;" "&amp;L48&amp;" "&amp;$C$7,$G50,"UpdFreq="&amp;$A$3)),_xll.BDP($C$5&amp;$C48&amp;$E49&amp;" "&amp;L48&amp;" "&amp;$C$7,$G50,"UpdFreq="&amp;$A$3),"")</f>
        <v/>
      </c>
      <c r="M50" s="258" t="str">
        <f ca="1">IF(ISNUMBER(_xll.BDP($C$5&amp;$C48&amp;$E49&amp;" "&amp;M48&amp;" "&amp;$C$7,$G50,"UpdFreq="&amp;$A$3)),_xll.BDP($C$5&amp;$C48&amp;$E49&amp;" "&amp;M48&amp;" "&amp;$C$7,$G50,"UpdFreq="&amp;$A$3),"")</f>
        <v/>
      </c>
      <c r="N50" s="258" t="str">
        <f ca="1">IF(ISNUMBER(_xll.BDP($C$5&amp;$C48&amp;$E49&amp;" "&amp;N48&amp;" "&amp;$C$7,$G50,"UpdFreq="&amp;$A$3)),_xll.BDP($C$5&amp;$C48&amp;$E49&amp;" "&amp;N48&amp;" "&amp;$C$7,$G50,"UpdFreq="&amp;$A$3),"")</f>
        <v/>
      </c>
      <c r="O50" s="258" t="str">
        <f ca="1">IF(ISNUMBER(_xll.BDP($C$5&amp;$C48&amp;$E49&amp;" "&amp;O48&amp;" "&amp;$C$7,$G50,"UpdFreq="&amp;$A$3)),_xll.BDP($C$5&amp;$C48&amp;$E49&amp;" "&amp;O48&amp;" "&amp;$C$7,$G50,"UpdFreq="&amp;$A$3),"")</f>
        <v/>
      </c>
      <c r="P50" s="258" t="str">
        <f ca="1">IF(ISNUMBER(_xll.BDP($C$5&amp;$C48&amp;$E49&amp;" "&amp;P48&amp;" "&amp;$C$7,$G50,"UpdFreq="&amp;$A$3)),_xll.BDP($C$5&amp;$C48&amp;$E49&amp;" "&amp;P48&amp;" "&amp;$C$7,$G50,"UpdFreq="&amp;$A$3),"")</f>
        <v/>
      </c>
      <c r="Q50" s="258" t="str">
        <f ca="1">IF(ISNUMBER(_xll.BDP($C$5&amp;$C48&amp;$E49&amp;" "&amp;Q48&amp;" "&amp;$C$7,$G50,"UpdFreq="&amp;$A$3)),_xll.BDP($C$5&amp;$C48&amp;$E49&amp;" "&amp;Q48&amp;" "&amp;$C$7,$G50,"UpdFreq="&amp;$A$3),"")</f>
        <v/>
      </c>
      <c r="R50" s="258" t="str">
        <f ca="1">IF(ISNUMBER(_xll.BDP($C$5&amp;$C48&amp;$E49&amp;" "&amp;R48&amp;" "&amp;$C$7,$G50,"UpdFreq="&amp;$A$3)),_xll.BDP($C$5&amp;$C48&amp;$E49&amp;" "&amp;R48&amp;" "&amp;$C$7,$G50,"UpdFreq="&amp;$A$3),"")</f>
        <v/>
      </c>
      <c r="S50" s="258" t="str">
        <f ca="1">IF(ISNUMBER(_xll.BDP($C$5&amp;$C48&amp;$E49&amp;" "&amp;S48&amp;" "&amp;$C$7,$G50,"UpdFreq="&amp;$A$3)),_xll.BDP($C$5&amp;$C48&amp;$E49&amp;" "&amp;S48&amp;" "&amp;$C$7,$G50,"UpdFreq="&amp;$A$3),"")</f>
        <v/>
      </c>
      <c r="T50" s="259" t="str">
        <f ca="1">IF(ISNUMBER(_xll.BDP($C$5&amp;$C48&amp;$E49&amp;" "&amp;T48&amp;" "&amp;$C$7,$G50,"UpdFreq="&amp;$A$3)),_xll.BDP($C$5&amp;$C48&amp;$E49&amp;" "&amp;T48&amp;" "&amp;$C$7,$G50,"UpdFreq="&amp;$A$3),"")</f>
        <v/>
      </c>
    </row>
    <row r="51" spans="2:20">
      <c r="B51" s="247" t="s">
        <v>56</v>
      </c>
      <c r="C51" s="248" t="e">
        <f ca="1">_xll.BDP($C$5&amp;C48&amp;" "&amp;$C$7, G52)</f>
        <v>#NAME?</v>
      </c>
      <c r="E51" s="121" t="s">
        <v>185</v>
      </c>
      <c r="F51" s="265" t="s">
        <v>186</v>
      </c>
      <c r="G51" s="266" t="s">
        <v>56</v>
      </c>
      <c r="H51" s="257" t="str">
        <f ca="1">IF(ISNUMBER(_xll.BDP($C$5&amp;$C48&amp;$E51&amp;" "&amp;H48&amp;" "&amp;$C$7,$G51,"UpdFreq="&amp;$A$3)),_xll.BDP($C$5&amp;$C48&amp;$E51&amp;" "&amp;H48&amp;" "&amp;$C$7,$G51,"UpdFreq="&amp;$A$3),"")</f>
        <v/>
      </c>
      <c r="I51" s="258" t="str">
        <f ca="1">IF(ISNUMBER(_xll.BDP($C$5&amp;$C48&amp;$E51&amp;" "&amp;I48&amp;" "&amp;$C$7,$G51,"UpdFreq="&amp;$A$3)),_xll.BDP($C$5&amp;$C48&amp;$E51&amp;" "&amp;I48&amp;" "&amp;$C$7,$G51,"UpdFreq="&amp;$A$3),"")</f>
        <v/>
      </c>
      <c r="J51" s="258" t="str">
        <f ca="1">IF(ISNUMBER(_xll.BDP($C$5&amp;$C48&amp;$E51&amp;" "&amp;J48&amp;" "&amp;$C$7,$G51,"UpdFreq="&amp;$A$3)),_xll.BDP($C$5&amp;$C48&amp;$E51&amp;" "&amp;J48&amp;" "&amp;$C$7,$G51,"UpdFreq="&amp;$A$3),"")</f>
        <v/>
      </c>
      <c r="K51" s="258" t="str">
        <f ca="1">IF(ISNUMBER(_xll.BDP($C$5&amp;$C48&amp;$E51&amp;" "&amp;K48&amp;" "&amp;$C$7,$G51,"UpdFreq="&amp;$A$3)),_xll.BDP($C$5&amp;$C48&amp;$E51&amp;" "&amp;K48&amp;" "&amp;$C$7,$G51,"UpdFreq="&amp;$A$3),"")</f>
        <v/>
      </c>
      <c r="L51" s="258" t="str">
        <f ca="1">IF(ISNUMBER(_xll.BDP($C$5&amp;$C48&amp;$E51&amp;" "&amp;L48&amp;" "&amp;$C$7,$G51,"UpdFreq="&amp;$A$3)),_xll.BDP($C$5&amp;$C48&amp;$E51&amp;" "&amp;L48&amp;" "&amp;$C$7,$G51,"UpdFreq="&amp;$A$3),"")</f>
        <v/>
      </c>
      <c r="M51" s="258" t="str">
        <f ca="1">IF(ISNUMBER(_xll.BDP($C$5&amp;$C48&amp;$E51&amp;" "&amp;M48&amp;" "&amp;$C$7,$G51,"UpdFreq="&amp;$A$3)),_xll.BDP($C$5&amp;$C48&amp;$E51&amp;" "&amp;M48&amp;" "&amp;$C$7,$G51,"UpdFreq="&amp;$A$3),"")</f>
        <v/>
      </c>
      <c r="N51" s="258" t="str">
        <f ca="1">IF(ISNUMBER(_xll.BDP($C$5&amp;$C48&amp;$E51&amp;" "&amp;N48&amp;" "&amp;$C$7,$G51,"UpdFreq="&amp;$A$3)),_xll.BDP($C$5&amp;$C48&amp;$E51&amp;" "&amp;N48&amp;" "&amp;$C$7,$G51,"UpdFreq="&amp;$A$3),"")</f>
        <v/>
      </c>
      <c r="O51" s="258" t="str">
        <f ca="1">IF(ISNUMBER(_xll.BDP($C$5&amp;$C48&amp;$E51&amp;" "&amp;O48&amp;" "&amp;$C$7,$G51,"UpdFreq="&amp;$A$3)),_xll.BDP($C$5&amp;$C48&amp;$E51&amp;" "&amp;O48&amp;" "&amp;$C$7,$G51,"UpdFreq="&amp;$A$3),"")</f>
        <v/>
      </c>
      <c r="P51" s="258" t="str">
        <f ca="1">IF(ISNUMBER(_xll.BDP($C$5&amp;$C48&amp;$E51&amp;" "&amp;P48&amp;" "&amp;$C$7,$G51,"UpdFreq="&amp;$A$3)),_xll.BDP($C$5&amp;$C48&amp;$E51&amp;" "&amp;P48&amp;" "&amp;$C$7,$G51,"UpdFreq="&amp;$A$3),"")</f>
        <v/>
      </c>
      <c r="Q51" s="258" t="str">
        <f ca="1">IF(ISNUMBER(_xll.BDP($C$5&amp;$C48&amp;$E51&amp;" "&amp;Q48&amp;" "&amp;$C$7,$G51,"UpdFreq="&amp;$A$3)),_xll.BDP($C$5&amp;$C48&amp;$E51&amp;" "&amp;Q48&amp;" "&amp;$C$7,$G51,"UpdFreq="&amp;$A$3),"")</f>
        <v/>
      </c>
      <c r="R51" s="258" t="str">
        <f ca="1">IF(ISNUMBER(_xll.BDP($C$5&amp;$C48&amp;$E51&amp;" "&amp;R48&amp;" "&amp;$C$7,$G51,"UpdFreq="&amp;$A$3)),_xll.BDP($C$5&amp;$C48&amp;$E51&amp;" "&amp;R48&amp;" "&amp;$C$7,$G51,"UpdFreq="&amp;$A$3),"")</f>
        <v/>
      </c>
      <c r="S51" s="258" t="str">
        <f ca="1">IF(ISNUMBER(_xll.BDP($C$5&amp;$C48&amp;$E51&amp;" "&amp;S48&amp;" "&amp;$C$7,$G51,"UpdFreq="&amp;$A$3)),_xll.BDP($C$5&amp;$C48&amp;$E51&amp;" "&amp;S48&amp;" "&amp;$C$7,$G51,"UpdFreq="&amp;$A$3),"")</f>
        <v/>
      </c>
      <c r="T51" s="259" t="str">
        <f ca="1">IF(ISNUMBER(_xll.BDP($C$5&amp;$C48&amp;$E51&amp;" "&amp;T48&amp;" "&amp;$C$7,$G51,"UpdFreq="&amp;$A$3)),_xll.BDP($C$5&amp;$C48&amp;$E51&amp;" "&amp;T48&amp;" "&amp;$C$7,$G51,"UpdFreq="&amp;$A$3),"")</f>
        <v/>
      </c>
    </row>
    <row r="52" spans="2:20" ht="13.5" thickBot="1">
      <c r="B52" s="249" t="s">
        <v>187</v>
      </c>
      <c r="C52" s="250" t="e">
        <f ca="1">IF(ISNUMBER($N49),_xll.BDP($C$5&amp;$C48&amp;$E49&amp;" "&amp;N48&amp;" "&amp;$C$7,"OPT_EXPIRE_DT"),_xll.BDP($C$5&amp;$C48&amp;$E49&amp;" "&amp;M48&amp;" "&amp;$C$7,"OPT_EXPIRE_DT"))</f>
        <v>#NAME?</v>
      </c>
      <c r="F52" s="267"/>
      <c r="G52" s="268" t="s">
        <v>57</v>
      </c>
      <c r="H52" s="260" t="str">
        <f ca="1">IF(ISNUMBER(_xll.BDP($C$5&amp;$C48&amp;$E51&amp;" "&amp;H48&amp;" "&amp;$C$7,$G52,"UpdFreq="&amp;$A$3)),_xll.BDP($C$5&amp;$C48&amp;$E51&amp;" "&amp;H48&amp;" "&amp;$C$7,$G52,"UpdFreq="&amp;$A$3),"")</f>
        <v/>
      </c>
      <c r="I52" s="261" t="str">
        <f ca="1">IF(ISNUMBER(_xll.BDP($C$5&amp;$C48&amp;$E51&amp;" "&amp;I48&amp;" "&amp;$C$7,$G52,"UpdFreq="&amp;$A$3)),_xll.BDP($C$5&amp;$C48&amp;$E51&amp;" "&amp;I48&amp;" "&amp;$C$7,$G52,"UpdFreq="&amp;$A$3),"")</f>
        <v/>
      </c>
      <c r="J52" s="261" t="str">
        <f ca="1">IF(ISNUMBER(_xll.BDP($C$5&amp;$C48&amp;$E51&amp;" "&amp;J48&amp;" "&amp;$C$7,$G52,"UpdFreq="&amp;$A$3)),_xll.BDP($C$5&amp;$C48&amp;$E51&amp;" "&amp;J48&amp;" "&amp;$C$7,$G52,"UpdFreq="&amp;$A$3),"")</f>
        <v/>
      </c>
      <c r="K52" s="261" t="str">
        <f ca="1">IF(ISNUMBER(_xll.BDP($C$5&amp;$C48&amp;$E51&amp;" "&amp;K48&amp;" "&amp;$C$7,$G52,"UpdFreq="&amp;$A$3)),_xll.BDP($C$5&amp;$C48&amp;$E51&amp;" "&amp;K48&amp;" "&amp;$C$7,$G52,"UpdFreq="&amp;$A$3),"")</f>
        <v/>
      </c>
      <c r="L52" s="261" t="str">
        <f ca="1">IF(ISNUMBER(_xll.BDP($C$5&amp;$C48&amp;$E51&amp;" "&amp;L48&amp;" "&amp;$C$7,$G52,"UpdFreq="&amp;$A$3)),_xll.BDP($C$5&amp;$C48&amp;$E51&amp;" "&amp;L48&amp;" "&amp;$C$7,$G52,"UpdFreq="&amp;$A$3),"")</f>
        <v/>
      </c>
      <c r="M52" s="261" t="str">
        <f ca="1">IF(ISNUMBER(_xll.BDP($C$5&amp;$C48&amp;$E51&amp;" "&amp;M48&amp;" "&amp;$C$7,$G52,"UpdFreq="&amp;$A$3)),_xll.BDP($C$5&amp;$C48&amp;$E51&amp;" "&amp;M48&amp;" "&amp;$C$7,$G52,"UpdFreq="&amp;$A$3),"")</f>
        <v/>
      </c>
      <c r="N52" s="261" t="str">
        <f ca="1">IF(ISNUMBER(_xll.BDP($C$5&amp;$C48&amp;$E51&amp;" "&amp;N48&amp;" "&amp;$C$7,$G52,"UpdFreq="&amp;$A$3)),_xll.BDP($C$5&amp;$C48&amp;$E51&amp;" "&amp;N48&amp;" "&amp;$C$7,$G52,"UpdFreq="&amp;$A$3),"")</f>
        <v/>
      </c>
      <c r="O52" s="261" t="str">
        <f ca="1">IF(ISNUMBER(_xll.BDP($C$5&amp;$C48&amp;$E51&amp;" "&amp;O48&amp;" "&amp;$C$7,$G52,"UpdFreq="&amp;$A$3)),_xll.BDP($C$5&amp;$C48&amp;$E51&amp;" "&amp;O48&amp;" "&amp;$C$7,$G52,"UpdFreq="&amp;$A$3),"")</f>
        <v/>
      </c>
      <c r="P52" s="261" t="str">
        <f ca="1">IF(ISNUMBER(_xll.BDP($C$5&amp;$C48&amp;$E51&amp;" "&amp;P48&amp;" "&amp;$C$7,$G52,"UpdFreq="&amp;$A$3)),_xll.BDP($C$5&amp;$C48&amp;$E51&amp;" "&amp;P48&amp;" "&amp;$C$7,$G52,"UpdFreq="&amp;$A$3),"")</f>
        <v/>
      </c>
      <c r="Q52" s="261" t="str">
        <f ca="1">IF(ISNUMBER(_xll.BDP($C$5&amp;$C48&amp;$E51&amp;" "&amp;Q48&amp;" "&amp;$C$7,$G52,"UpdFreq="&amp;$A$3)),_xll.BDP($C$5&amp;$C48&amp;$E51&amp;" "&amp;Q48&amp;" "&amp;$C$7,$G52,"UpdFreq="&amp;$A$3),"")</f>
        <v/>
      </c>
      <c r="R52" s="261" t="str">
        <f ca="1">IF(ISNUMBER(_xll.BDP($C$5&amp;$C48&amp;$E51&amp;" "&amp;R48&amp;" "&amp;$C$7,$G52,"UpdFreq="&amp;$A$3)),_xll.BDP($C$5&amp;$C48&amp;$E51&amp;" "&amp;R48&amp;" "&amp;$C$7,$G52,"UpdFreq="&amp;$A$3),"")</f>
        <v/>
      </c>
      <c r="S52" s="261" t="str">
        <f ca="1">IF(ISNUMBER(_xll.BDP($C$5&amp;$C48&amp;$E51&amp;" "&amp;S48&amp;" "&amp;$C$7,$G52,"UpdFreq="&amp;$A$3)),_xll.BDP($C$5&amp;$C48&amp;$E51&amp;" "&amp;S48&amp;" "&amp;$C$7,$G52,"UpdFreq="&amp;$A$3),"")</f>
        <v/>
      </c>
      <c r="T52" s="262" t="str">
        <f ca="1">IF(ISNUMBER(_xll.BDP($C$5&amp;$C48&amp;$E51&amp;" "&amp;T48&amp;" "&amp;$C$7,$G52,"UpdFreq="&amp;$A$3)),_xll.BDP($C$5&amp;$C48&amp;$E51&amp;" "&amp;T48&amp;" "&amp;$C$7,$G52,"UpdFreq="&amp;$A$3),"")</f>
        <v/>
      </c>
    </row>
    <row r="53" spans="2:20" ht="13.5" thickBot="1">
      <c r="G53" s="121"/>
      <c r="H53" s="121"/>
      <c r="K53" s="121"/>
    </row>
    <row r="54" spans="2:20" ht="13.5" thickBot="1">
      <c r="B54" s="241" t="s">
        <v>181</v>
      </c>
      <c r="C54" s="242" t="s">
        <v>205</v>
      </c>
      <c r="F54" s="241" t="s">
        <v>208</v>
      </c>
      <c r="G54" s="121" t="str">
        <f>+$C$5&amp;C54&amp;" "&amp;$C$7</f>
        <v>ERU4 Comdty</v>
      </c>
      <c r="H54" s="251" t="e">
        <f t="shared" ref="H54:M54" ca="1" si="14">I54-$C$6</f>
        <v>#NAME?</v>
      </c>
      <c r="I54" s="252" t="e">
        <f t="shared" ca="1" si="14"/>
        <v>#NAME?</v>
      </c>
      <c r="J54" s="252" t="e">
        <f t="shared" ca="1" si="14"/>
        <v>#NAME?</v>
      </c>
      <c r="K54" s="252" t="e">
        <f t="shared" ca="1" si="14"/>
        <v>#NAME?</v>
      </c>
      <c r="L54" s="252" t="e">
        <f t="shared" ca="1" si="14"/>
        <v>#NAME?</v>
      </c>
      <c r="M54" s="252" t="e">
        <f t="shared" ca="1" si="14"/>
        <v>#NAME?</v>
      </c>
      <c r="N54" s="253" t="e">
        <f ca="1">ROUND($C55/($C$6),0)*$C$6</f>
        <v>#NAME?</v>
      </c>
      <c r="O54" s="252" t="e">
        <f t="shared" ref="O54:T54" ca="1" si="15">N54+$C$6</f>
        <v>#NAME?</v>
      </c>
      <c r="P54" s="252" t="e">
        <f t="shared" ca="1" si="15"/>
        <v>#NAME?</v>
      </c>
      <c r="Q54" s="252" t="e">
        <f t="shared" ca="1" si="15"/>
        <v>#NAME?</v>
      </c>
      <c r="R54" s="252" t="e">
        <f t="shared" ca="1" si="15"/>
        <v>#NAME?</v>
      </c>
      <c r="S54" s="252" t="e">
        <f t="shared" ca="1" si="15"/>
        <v>#NAME?</v>
      </c>
      <c r="T54" s="252" t="e">
        <f t="shared" ca="1" si="15"/>
        <v>#NAME?</v>
      </c>
    </row>
    <row r="55" spans="2:20">
      <c r="B55" s="243" t="s">
        <v>182</v>
      </c>
      <c r="C55" s="244" t="e">
        <f ca="1">AVERAGE(C56:C57)</f>
        <v>#NAME?</v>
      </c>
      <c r="E55" s="121" t="s">
        <v>183</v>
      </c>
      <c r="F55" s="263" t="s">
        <v>184</v>
      </c>
      <c r="G55" s="264" t="s">
        <v>56</v>
      </c>
      <c r="H55" s="254" t="str">
        <f ca="1">IF(ISNUMBER(_xll.BDP($C$5&amp;$C54&amp;$E55&amp;" "&amp;H54&amp;" "&amp;$C$7,$G55,"UpdFreq="&amp;$A$3)),_xll.BDP($C$5&amp;$C54&amp;$E55&amp;" "&amp;H54&amp;" "&amp;$C$7,$G55,"UpdFreq="&amp;$A$3),"")</f>
        <v/>
      </c>
      <c r="I55" s="255" t="str">
        <f ca="1">IF(ISNUMBER(_xll.BDP($C$5&amp;$C54&amp;$E55&amp;" "&amp;I54&amp;" "&amp;$C$7,$G55,"UpdFreq="&amp;$A$3)),_xll.BDP($C$5&amp;$C54&amp;$E55&amp;" "&amp;I54&amp;" "&amp;$C$7,$G55,"UpdFreq="&amp;$A$3),"")</f>
        <v/>
      </c>
      <c r="J55" s="255" t="str">
        <f ca="1">IF(ISNUMBER(_xll.BDP($C$5&amp;$C54&amp;$E55&amp;" "&amp;J54&amp;" "&amp;$C$7,$G55,"UpdFreq="&amp;$A$3)),_xll.BDP($C$5&amp;$C54&amp;$E55&amp;" "&amp;J54&amp;" "&amp;$C$7,$G55,"UpdFreq="&amp;$A$3),"")</f>
        <v/>
      </c>
      <c r="K55" s="255" t="str">
        <f ca="1">IF(ISNUMBER(_xll.BDP($C$5&amp;$C54&amp;$E55&amp;" "&amp;K54&amp;" "&amp;$C$7,$G55,"UpdFreq="&amp;$A$3)),_xll.BDP($C$5&amp;$C54&amp;$E55&amp;" "&amp;K54&amp;" "&amp;$C$7,$G55,"UpdFreq="&amp;$A$3),"")</f>
        <v/>
      </c>
      <c r="L55" s="255" t="str">
        <f ca="1">IF(ISNUMBER(_xll.BDP($C$5&amp;$C54&amp;$E55&amp;" "&amp;L54&amp;" "&amp;$C$7,$G55,"UpdFreq="&amp;$A$3)),_xll.BDP($C$5&amp;$C54&amp;$E55&amp;" "&amp;L54&amp;" "&amp;$C$7,$G55,"UpdFreq="&amp;$A$3),"")</f>
        <v/>
      </c>
      <c r="M55" s="255" t="str">
        <f ca="1">IF(ISNUMBER(_xll.BDP($C$5&amp;$C54&amp;$E55&amp;" "&amp;M54&amp;" "&amp;$C$7,$G55,"UpdFreq="&amp;$A$3)),_xll.BDP($C$5&amp;$C54&amp;$E55&amp;" "&amp;M54&amp;" "&amp;$C$7,$G55,"UpdFreq="&amp;$A$3),"")</f>
        <v/>
      </c>
      <c r="N55" s="255" t="str">
        <f ca="1">IF(ISNUMBER(_xll.BDP($C$5&amp;$C54&amp;$E55&amp;" "&amp;N54&amp;" "&amp;$C$7,$G55,"UpdFreq="&amp;$A$3)),_xll.BDP($C$5&amp;$C54&amp;$E55&amp;" "&amp;N54&amp;" "&amp;$C$7,$G55,"UpdFreq="&amp;$A$3),"")</f>
        <v/>
      </c>
      <c r="O55" s="255" t="str">
        <f ca="1">IF(ISNUMBER(_xll.BDP($C$5&amp;$C54&amp;$E55&amp;" "&amp;O54&amp;" "&amp;$C$7,$G55,"UpdFreq="&amp;$A$3)),_xll.BDP($C$5&amp;$C54&amp;$E55&amp;" "&amp;O54&amp;" "&amp;$C$7,$G55,"UpdFreq="&amp;$A$3),"")</f>
        <v/>
      </c>
      <c r="P55" s="255" t="str">
        <f ca="1">IF(ISNUMBER(_xll.BDP($C$5&amp;$C54&amp;$E55&amp;" "&amp;P54&amp;" "&amp;$C$7,$G55,"UpdFreq="&amp;$A$3)),_xll.BDP($C$5&amp;$C54&amp;$E55&amp;" "&amp;P54&amp;" "&amp;$C$7,$G55,"UpdFreq="&amp;$A$3),"")</f>
        <v/>
      </c>
      <c r="Q55" s="255" t="str">
        <f ca="1">IF(ISNUMBER(_xll.BDP($C$5&amp;$C54&amp;$E55&amp;" "&amp;Q54&amp;" "&amp;$C$7,$G55,"UpdFreq="&amp;$A$3)),_xll.BDP($C$5&amp;$C54&amp;$E55&amp;" "&amp;Q54&amp;" "&amp;$C$7,$G55,"UpdFreq="&amp;$A$3),"")</f>
        <v/>
      </c>
      <c r="R55" s="255" t="str">
        <f ca="1">IF(ISNUMBER(_xll.BDP($C$5&amp;$C54&amp;$E55&amp;" "&amp;R54&amp;" "&amp;$C$7,$G55,"UpdFreq="&amp;$A$3)),_xll.BDP($C$5&amp;$C54&amp;$E55&amp;" "&amp;R54&amp;" "&amp;$C$7,$G55,"UpdFreq="&amp;$A$3),"")</f>
        <v/>
      </c>
      <c r="S55" s="255" t="str">
        <f ca="1">IF(ISNUMBER(_xll.BDP($C$5&amp;$C54&amp;$E55&amp;" "&amp;S54&amp;" "&amp;$C$7,$G55,"UpdFreq="&amp;$A$3)),_xll.BDP($C$5&amp;$C54&amp;$E55&amp;" "&amp;S54&amp;" "&amp;$C$7,$G55,"UpdFreq="&amp;$A$3),"")</f>
        <v/>
      </c>
      <c r="T55" s="256" t="str">
        <f ca="1">IF(ISNUMBER(_xll.BDP($C$5&amp;$C54&amp;$E55&amp;" "&amp;T54&amp;" "&amp;$C$7,$G55,"UpdFreq="&amp;$A$3)),_xll.BDP($C$5&amp;$C54&amp;$E55&amp;" "&amp;T54&amp;" "&amp;$C$7,$G55,"UpdFreq="&amp;$A$3),"")</f>
        <v/>
      </c>
    </row>
    <row r="56" spans="2:20">
      <c r="B56" s="245" t="s">
        <v>57</v>
      </c>
      <c r="C56" s="246" t="e">
        <f ca="1">_xll.BDP($C$5&amp;C54&amp;" "&amp;$C$7, G57)</f>
        <v>#NAME?</v>
      </c>
      <c r="F56" s="265"/>
      <c r="G56" s="266" t="s">
        <v>57</v>
      </c>
      <c r="H56" s="257" t="str">
        <f ca="1">IF(ISNUMBER(_xll.BDP($C$5&amp;$C54&amp;$E55&amp;" "&amp;H54&amp;" "&amp;$C$7,$G56,"UpdFreq="&amp;$A$3)),_xll.BDP($C$5&amp;$C54&amp;$E55&amp;" "&amp;H54&amp;" "&amp;$C$7,$G56,"UpdFreq="&amp;$A$3),"")</f>
        <v/>
      </c>
      <c r="I56" s="258" t="str">
        <f ca="1">IF(ISNUMBER(_xll.BDP($C$5&amp;$C54&amp;$E55&amp;" "&amp;I54&amp;" "&amp;$C$7,$G56,"UpdFreq="&amp;$A$3)),_xll.BDP($C$5&amp;$C54&amp;$E55&amp;" "&amp;I54&amp;" "&amp;$C$7,$G56,"UpdFreq="&amp;$A$3),"")</f>
        <v/>
      </c>
      <c r="J56" s="258" t="str">
        <f ca="1">IF(ISNUMBER(_xll.BDP($C$5&amp;$C54&amp;$E55&amp;" "&amp;J54&amp;" "&amp;$C$7,$G56,"UpdFreq="&amp;$A$3)),_xll.BDP($C$5&amp;$C54&amp;$E55&amp;" "&amp;J54&amp;" "&amp;$C$7,$G56,"UpdFreq="&amp;$A$3),"")</f>
        <v/>
      </c>
      <c r="K56" s="258" t="str">
        <f ca="1">IF(ISNUMBER(_xll.BDP($C$5&amp;$C54&amp;$E55&amp;" "&amp;K54&amp;" "&amp;$C$7,$G56,"UpdFreq="&amp;$A$3)),_xll.BDP($C$5&amp;$C54&amp;$E55&amp;" "&amp;K54&amp;" "&amp;$C$7,$G56,"UpdFreq="&amp;$A$3),"")</f>
        <v/>
      </c>
      <c r="L56" s="258" t="str">
        <f ca="1">IF(ISNUMBER(_xll.BDP($C$5&amp;$C54&amp;$E55&amp;" "&amp;L54&amp;" "&amp;$C$7,$G56,"UpdFreq="&amp;$A$3)),_xll.BDP($C$5&amp;$C54&amp;$E55&amp;" "&amp;L54&amp;" "&amp;$C$7,$G56,"UpdFreq="&amp;$A$3),"")</f>
        <v/>
      </c>
      <c r="M56" s="258" t="str">
        <f ca="1">IF(ISNUMBER(_xll.BDP($C$5&amp;$C54&amp;$E55&amp;" "&amp;M54&amp;" "&amp;$C$7,$G56,"UpdFreq="&amp;$A$3)),_xll.BDP($C$5&amp;$C54&amp;$E55&amp;" "&amp;M54&amp;" "&amp;$C$7,$G56,"UpdFreq="&amp;$A$3),"")</f>
        <v/>
      </c>
      <c r="N56" s="258" t="str">
        <f ca="1">IF(ISNUMBER(_xll.BDP($C$5&amp;$C54&amp;$E55&amp;" "&amp;N54&amp;" "&amp;$C$7,$G56,"UpdFreq="&amp;$A$3)),_xll.BDP($C$5&amp;$C54&amp;$E55&amp;" "&amp;N54&amp;" "&amp;$C$7,$G56,"UpdFreq="&amp;$A$3),"")</f>
        <v/>
      </c>
      <c r="O56" s="258" t="str">
        <f ca="1">IF(ISNUMBER(_xll.BDP($C$5&amp;$C54&amp;$E55&amp;" "&amp;O54&amp;" "&amp;$C$7,$G56,"UpdFreq="&amp;$A$3)),_xll.BDP($C$5&amp;$C54&amp;$E55&amp;" "&amp;O54&amp;" "&amp;$C$7,$G56,"UpdFreq="&amp;$A$3),"")</f>
        <v/>
      </c>
      <c r="P56" s="258" t="str">
        <f ca="1">IF(ISNUMBER(_xll.BDP($C$5&amp;$C54&amp;$E55&amp;" "&amp;P54&amp;" "&amp;$C$7,$G56,"UpdFreq="&amp;$A$3)),_xll.BDP($C$5&amp;$C54&amp;$E55&amp;" "&amp;P54&amp;" "&amp;$C$7,$G56,"UpdFreq="&amp;$A$3),"")</f>
        <v/>
      </c>
      <c r="Q56" s="258" t="str">
        <f ca="1">IF(ISNUMBER(_xll.BDP($C$5&amp;$C54&amp;$E55&amp;" "&amp;Q54&amp;" "&amp;$C$7,$G56,"UpdFreq="&amp;$A$3)),_xll.BDP($C$5&amp;$C54&amp;$E55&amp;" "&amp;Q54&amp;" "&amp;$C$7,$G56,"UpdFreq="&amp;$A$3),"")</f>
        <v/>
      </c>
      <c r="R56" s="258" t="str">
        <f ca="1">IF(ISNUMBER(_xll.BDP($C$5&amp;$C54&amp;$E55&amp;" "&amp;R54&amp;" "&amp;$C$7,$G56,"UpdFreq="&amp;$A$3)),_xll.BDP($C$5&amp;$C54&amp;$E55&amp;" "&amp;R54&amp;" "&amp;$C$7,$G56,"UpdFreq="&amp;$A$3),"")</f>
        <v/>
      </c>
      <c r="S56" s="258" t="str">
        <f ca="1">IF(ISNUMBER(_xll.BDP($C$5&amp;$C54&amp;$E55&amp;" "&amp;S54&amp;" "&amp;$C$7,$G56,"UpdFreq="&amp;$A$3)),_xll.BDP($C$5&amp;$C54&amp;$E55&amp;" "&amp;S54&amp;" "&amp;$C$7,$G56,"UpdFreq="&amp;$A$3),"")</f>
        <v/>
      </c>
      <c r="T56" s="259" t="str">
        <f ca="1">IF(ISNUMBER(_xll.BDP($C$5&amp;$C54&amp;$E55&amp;" "&amp;T54&amp;" "&amp;$C$7,$G56,"UpdFreq="&amp;$A$3)),_xll.BDP($C$5&amp;$C54&amp;$E55&amp;" "&amp;T54&amp;" "&amp;$C$7,$G56,"UpdFreq="&amp;$A$3),"")</f>
        <v/>
      </c>
    </row>
    <row r="57" spans="2:20">
      <c r="B57" s="247" t="s">
        <v>56</v>
      </c>
      <c r="C57" s="248" t="e">
        <f ca="1">_xll.BDP($C$5&amp;C54&amp;" "&amp;$C$7, G58)</f>
        <v>#NAME?</v>
      </c>
      <c r="E57" s="121" t="s">
        <v>185</v>
      </c>
      <c r="F57" s="265" t="s">
        <v>186</v>
      </c>
      <c r="G57" s="266" t="s">
        <v>56</v>
      </c>
      <c r="H57" s="257" t="str">
        <f ca="1">IF(ISNUMBER(_xll.BDP($C$5&amp;$C54&amp;$E57&amp;" "&amp;H54&amp;" "&amp;$C$7,$G57,"UpdFreq="&amp;$A$3)),_xll.BDP($C$5&amp;$C54&amp;$E57&amp;" "&amp;H54&amp;" "&amp;$C$7,$G57,"UpdFreq="&amp;$A$3),"")</f>
        <v/>
      </c>
      <c r="I57" s="258" t="str">
        <f ca="1">IF(ISNUMBER(_xll.BDP($C$5&amp;$C54&amp;$E57&amp;" "&amp;I54&amp;" "&amp;$C$7,$G57,"UpdFreq="&amp;$A$3)),_xll.BDP($C$5&amp;$C54&amp;$E57&amp;" "&amp;I54&amp;" "&amp;$C$7,$G57,"UpdFreq="&amp;$A$3),"")</f>
        <v/>
      </c>
      <c r="J57" s="258" t="str">
        <f ca="1">IF(ISNUMBER(_xll.BDP($C$5&amp;$C54&amp;$E57&amp;" "&amp;J54&amp;" "&amp;$C$7,$G57,"UpdFreq="&amp;$A$3)),_xll.BDP($C$5&amp;$C54&amp;$E57&amp;" "&amp;J54&amp;" "&amp;$C$7,$G57,"UpdFreq="&amp;$A$3),"")</f>
        <v/>
      </c>
      <c r="K57" s="258" t="str">
        <f ca="1">IF(ISNUMBER(_xll.BDP($C$5&amp;$C54&amp;$E57&amp;" "&amp;K54&amp;" "&amp;$C$7,$G57,"UpdFreq="&amp;$A$3)),_xll.BDP($C$5&amp;$C54&amp;$E57&amp;" "&amp;K54&amp;" "&amp;$C$7,$G57,"UpdFreq="&amp;$A$3),"")</f>
        <v/>
      </c>
      <c r="L57" s="258" t="str">
        <f ca="1">IF(ISNUMBER(_xll.BDP($C$5&amp;$C54&amp;$E57&amp;" "&amp;L54&amp;" "&amp;$C$7,$G57,"UpdFreq="&amp;$A$3)),_xll.BDP($C$5&amp;$C54&amp;$E57&amp;" "&amp;L54&amp;" "&amp;$C$7,$G57,"UpdFreq="&amp;$A$3),"")</f>
        <v/>
      </c>
      <c r="M57" s="258" t="str">
        <f ca="1">IF(ISNUMBER(_xll.BDP($C$5&amp;$C54&amp;$E57&amp;" "&amp;M54&amp;" "&amp;$C$7,$G57,"UpdFreq="&amp;$A$3)),_xll.BDP($C$5&amp;$C54&amp;$E57&amp;" "&amp;M54&amp;" "&amp;$C$7,$G57,"UpdFreq="&amp;$A$3),"")</f>
        <v/>
      </c>
      <c r="N57" s="258" t="str">
        <f ca="1">IF(ISNUMBER(_xll.BDP($C$5&amp;$C54&amp;$E57&amp;" "&amp;N54&amp;" "&amp;$C$7,$G57,"UpdFreq="&amp;$A$3)),_xll.BDP($C$5&amp;$C54&amp;$E57&amp;" "&amp;N54&amp;" "&amp;$C$7,$G57,"UpdFreq="&amp;$A$3),"")</f>
        <v/>
      </c>
      <c r="O57" s="258" t="str">
        <f ca="1">IF(ISNUMBER(_xll.BDP($C$5&amp;$C54&amp;$E57&amp;" "&amp;O54&amp;" "&amp;$C$7,$G57,"UpdFreq="&amp;$A$3)),_xll.BDP($C$5&amp;$C54&amp;$E57&amp;" "&amp;O54&amp;" "&amp;$C$7,$G57,"UpdFreq="&amp;$A$3),"")</f>
        <v/>
      </c>
      <c r="P57" s="258" t="str">
        <f ca="1">IF(ISNUMBER(_xll.BDP($C$5&amp;$C54&amp;$E57&amp;" "&amp;P54&amp;" "&amp;$C$7,$G57,"UpdFreq="&amp;$A$3)),_xll.BDP($C$5&amp;$C54&amp;$E57&amp;" "&amp;P54&amp;" "&amp;$C$7,$G57,"UpdFreq="&amp;$A$3),"")</f>
        <v/>
      </c>
      <c r="Q57" s="258" t="str">
        <f ca="1">IF(ISNUMBER(_xll.BDP($C$5&amp;$C54&amp;$E57&amp;" "&amp;Q54&amp;" "&amp;$C$7,$G57,"UpdFreq="&amp;$A$3)),_xll.BDP($C$5&amp;$C54&amp;$E57&amp;" "&amp;Q54&amp;" "&amp;$C$7,$G57,"UpdFreq="&amp;$A$3),"")</f>
        <v/>
      </c>
      <c r="R57" s="258" t="str">
        <f ca="1">IF(ISNUMBER(_xll.BDP($C$5&amp;$C54&amp;$E57&amp;" "&amp;R54&amp;" "&amp;$C$7,$G57,"UpdFreq="&amp;$A$3)),_xll.BDP($C$5&amp;$C54&amp;$E57&amp;" "&amp;R54&amp;" "&amp;$C$7,$G57,"UpdFreq="&amp;$A$3),"")</f>
        <v/>
      </c>
      <c r="S57" s="258" t="str">
        <f ca="1">IF(ISNUMBER(_xll.BDP($C$5&amp;$C54&amp;$E57&amp;" "&amp;S54&amp;" "&amp;$C$7,$G57,"UpdFreq="&amp;$A$3)),_xll.BDP($C$5&amp;$C54&amp;$E57&amp;" "&amp;S54&amp;" "&amp;$C$7,$G57,"UpdFreq="&amp;$A$3),"")</f>
        <v/>
      </c>
      <c r="T57" s="259" t="str">
        <f ca="1">IF(ISNUMBER(_xll.BDP($C$5&amp;$C54&amp;$E57&amp;" "&amp;T54&amp;" "&amp;$C$7,$G57,"UpdFreq="&amp;$A$3)),_xll.BDP($C$5&amp;$C54&amp;$E57&amp;" "&amp;T54&amp;" "&amp;$C$7,$G57,"UpdFreq="&amp;$A$3),"")</f>
        <v/>
      </c>
    </row>
    <row r="58" spans="2:20" ht="13.5" thickBot="1">
      <c r="B58" s="249" t="s">
        <v>187</v>
      </c>
      <c r="C58" s="250" t="e">
        <f ca="1">IF(ISNUMBER($N55),_xll.BDP($C$5&amp;$C54&amp;$E55&amp;" "&amp;N54&amp;" "&amp;$C$7,"OPT_EXPIRE_DT"),_xll.BDP($C$5&amp;$C54&amp;$E55&amp;" "&amp;M54&amp;" "&amp;$C$7,"OPT_EXPIRE_DT"))</f>
        <v>#NAME?</v>
      </c>
      <c r="F58" s="267"/>
      <c r="G58" s="268" t="s">
        <v>57</v>
      </c>
      <c r="H58" s="260" t="str">
        <f ca="1">IF(ISNUMBER(_xll.BDP($C$5&amp;$C54&amp;$E57&amp;" "&amp;H54&amp;" "&amp;$C$7,$G58,"UpdFreq="&amp;$A$3)),_xll.BDP($C$5&amp;$C54&amp;$E57&amp;" "&amp;H54&amp;" "&amp;$C$7,$G58,"UpdFreq="&amp;$A$3),"")</f>
        <v/>
      </c>
      <c r="I58" s="261" t="str">
        <f ca="1">IF(ISNUMBER(_xll.BDP($C$5&amp;$C54&amp;$E57&amp;" "&amp;I54&amp;" "&amp;$C$7,$G58,"UpdFreq="&amp;$A$3)),_xll.BDP($C$5&amp;$C54&amp;$E57&amp;" "&amp;I54&amp;" "&amp;$C$7,$G58,"UpdFreq="&amp;$A$3),"")</f>
        <v/>
      </c>
      <c r="J58" s="261" t="str">
        <f ca="1">IF(ISNUMBER(_xll.BDP($C$5&amp;$C54&amp;$E57&amp;" "&amp;J54&amp;" "&amp;$C$7,$G58,"UpdFreq="&amp;$A$3)),_xll.BDP($C$5&amp;$C54&amp;$E57&amp;" "&amp;J54&amp;" "&amp;$C$7,$G58,"UpdFreq="&amp;$A$3),"")</f>
        <v/>
      </c>
      <c r="K58" s="261" t="str">
        <f ca="1">IF(ISNUMBER(_xll.BDP($C$5&amp;$C54&amp;$E57&amp;" "&amp;K54&amp;" "&amp;$C$7,$G58,"UpdFreq="&amp;$A$3)),_xll.BDP($C$5&amp;$C54&amp;$E57&amp;" "&amp;K54&amp;" "&amp;$C$7,$G58,"UpdFreq="&amp;$A$3),"")</f>
        <v/>
      </c>
      <c r="L58" s="261" t="str">
        <f ca="1">IF(ISNUMBER(_xll.BDP($C$5&amp;$C54&amp;$E57&amp;" "&amp;L54&amp;" "&amp;$C$7,$G58,"UpdFreq="&amp;$A$3)),_xll.BDP($C$5&amp;$C54&amp;$E57&amp;" "&amp;L54&amp;" "&amp;$C$7,$G58,"UpdFreq="&amp;$A$3),"")</f>
        <v/>
      </c>
      <c r="M58" s="261" t="str">
        <f ca="1">IF(ISNUMBER(_xll.BDP($C$5&amp;$C54&amp;$E57&amp;" "&amp;M54&amp;" "&amp;$C$7,$G58,"UpdFreq="&amp;$A$3)),_xll.BDP($C$5&amp;$C54&amp;$E57&amp;" "&amp;M54&amp;" "&amp;$C$7,$G58,"UpdFreq="&amp;$A$3),"")</f>
        <v/>
      </c>
      <c r="N58" s="261" t="str">
        <f ca="1">IF(ISNUMBER(_xll.BDP($C$5&amp;$C54&amp;$E57&amp;" "&amp;N54&amp;" "&amp;$C$7,$G58,"UpdFreq="&amp;$A$3)),_xll.BDP($C$5&amp;$C54&amp;$E57&amp;" "&amp;N54&amp;" "&amp;$C$7,$G58,"UpdFreq="&amp;$A$3),"")</f>
        <v/>
      </c>
      <c r="O58" s="261" t="str">
        <f ca="1">IF(ISNUMBER(_xll.BDP($C$5&amp;$C54&amp;$E57&amp;" "&amp;O54&amp;" "&amp;$C$7,$G58,"UpdFreq="&amp;$A$3)),_xll.BDP($C$5&amp;$C54&amp;$E57&amp;" "&amp;O54&amp;" "&amp;$C$7,$G58,"UpdFreq="&amp;$A$3),"")</f>
        <v/>
      </c>
      <c r="P58" s="261" t="str">
        <f ca="1">IF(ISNUMBER(_xll.BDP($C$5&amp;$C54&amp;$E57&amp;" "&amp;P54&amp;" "&amp;$C$7,$G58,"UpdFreq="&amp;$A$3)),_xll.BDP($C$5&amp;$C54&amp;$E57&amp;" "&amp;P54&amp;" "&amp;$C$7,$G58,"UpdFreq="&amp;$A$3),"")</f>
        <v/>
      </c>
      <c r="Q58" s="261" t="str">
        <f ca="1">IF(ISNUMBER(_xll.BDP($C$5&amp;$C54&amp;$E57&amp;" "&amp;Q54&amp;" "&amp;$C$7,$G58,"UpdFreq="&amp;$A$3)),_xll.BDP($C$5&amp;$C54&amp;$E57&amp;" "&amp;Q54&amp;" "&amp;$C$7,$G58,"UpdFreq="&amp;$A$3),"")</f>
        <v/>
      </c>
      <c r="R58" s="261" t="str">
        <f ca="1">IF(ISNUMBER(_xll.BDP($C$5&amp;$C54&amp;$E57&amp;" "&amp;R54&amp;" "&amp;$C$7,$G58,"UpdFreq="&amp;$A$3)),_xll.BDP($C$5&amp;$C54&amp;$E57&amp;" "&amp;R54&amp;" "&amp;$C$7,$G58,"UpdFreq="&amp;$A$3),"")</f>
        <v/>
      </c>
      <c r="S58" s="261" t="str">
        <f ca="1">IF(ISNUMBER(_xll.BDP($C$5&amp;$C54&amp;$E57&amp;" "&amp;S54&amp;" "&amp;$C$7,$G58,"UpdFreq="&amp;$A$3)),_xll.BDP($C$5&amp;$C54&amp;$E57&amp;" "&amp;S54&amp;" "&amp;$C$7,$G58,"UpdFreq="&amp;$A$3),"")</f>
        <v/>
      </c>
      <c r="T58" s="262" t="str">
        <f ca="1">IF(ISNUMBER(_xll.BDP($C$5&amp;$C54&amp;$E57&amp;" "&amp;T54&amp;" "&amp;$C$7,$G58,"UpdFreq="&amp;$A$3)),_xll.BDP($C$5&amp;$C54&amp;$E57&amp;" "&amp;T54&amp;" "&amp;$C$7,$G58,"UpdFreq="&amp;$A$3),"")</f>
        <v/>
      </c>
    </row>
    <row r="132" spans="2:6">
      <c r="B132" s="123"/>
      <c r="C132" s="123"/>
      <c r="D132" s="123"/>
      <c r="E132" s="123"/>
      <c r="F132" s="123"/>
    </row>
    <row r="133" spans="2:6">
      <c r="B133" s="123"/>
      <c r="C133" s="123"/>
      <c r="D133" s="123"/>
      <c r="E133" s="123"/>
      <c r="F133" s="123"/>
    </row>
    <row r="134" spans="2:6">
      <c r="B134" s="123"/>
      <c r="C134" s="123"/>
      <c r="D134" s="123"/>
      <c r="E134" s="123"/>
      <c r="F134" s="123"/>
    </row>
    <row r="135" spans="2:6">
      <c r="B135" s="123"/>
      <c r="C135" s="123"/>
      <c r="D135" s="123"/>
      <c r="E135" s="123"/>
      <c r="F135" s="123"/>
    </row>
    <row r="136" spans="2:6">
      <c r="B136" s="123"/>
      <c r="C136" s="123"/>
      <c r="D136" s="123"/>
      <c r="E136" s="123"/>
      <c r="F136" s="123"/>
    </row>
    <row r="137" spans="2:6">
      <c r="B137" s="123"/>
      <c r="C137" s="123"/>
      <c r="D137" s="123"/>
      <c r="E137" s="123"/>
      <c r="F137" s="123"/>
    </row>
    <row r="138" spans="2:6">
      <c r="B138" s="123"/>
      <c r="C138" s="123"/>
      <c r="D138" s="123"/>
      <c r="E138" s="123"/>
      <c r="F138" s="123"/>
    </row>
    <row r="139" spans="2:6">
      <c r="B139" s="123"/>
      <c r="C139" s="123"/>
      <c r="D139" s="123"/>
      <c r="E139" s="123"/>
      <c r="F139" s="123"/>
    </row>
  </sheetData>
  <phoneticPr fontId="2" type="noConversion"/>
  <dataValidations count="3">
    <dataValidation type="list" allowBlank="1" showInputMessage="1" showErrorMessage="1" sqref="C3 AD3">
      <formula1>$AE$3:$AE$6</formula1>
    </dataValidation>
    <dataValidation type="list" allowBlank="1" showInputMessage="1" showErrorMessage="1" sqref="C2 AD2">
      <formula1>$Q$2:$Q$3</formula1>
    </dataValidation>
    <dataValidation type="list" allowBlank="1" showInputMessage="1" showErrorMessage="1" sqref="C135:C136">
      <formula1>Contributori</formula1>
    </dataValidation>
  </dataValidations>
  <pageMargins left="0.75" right="0.75" top="1" bottom="1" header="0.5" footer="0.5"/>
  <pageSetup paperSize="9" orientation="landscape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Foglio8" enableFormatConditionsCalculation="0">
    <tabColor indexed="48"/>
    <pageSetUpPr autoPageBreaks="0"/>
  </sheetPr>
  <dimension ref="A1:AF48"/>
  <sheetViews>
    <sheetView showGridLines="0" zoomScale="80" workbookViewId="0">
      <pane ySplit="8" topLeftCell="A9" activePane="bottomLeft" state="frozenSplit"/>
      <selection activeCell="D7" sqref="D7"/>
      <selection pane="bottomLeft" activeCell="J3" sqref="J3"/>
    </sheetView>
  </sheetViews>
  <sheetFormatPr defaultColWidth="0" defaultRowHeight="12.75"/>
  <cols>
    <col min="1" max="1" width="8" customWidth="1"/>
    <col min="2" max="2" width="9.7109375" customWidth="1"/>
    <col min="3" max="3" width="19.7109375" customWidth="1"/>
    <col min="4" max="5" width="11.7109375" customWidth="1"/>
    <col min="6" max="6" width="11.7109375" style="1" customWidth="1"/>
    <col min="7" max="7" width="12.7109375" style="1" customWidth="1"/>
    <col min="8" max="9" width="13.28515625" customWidth="1"/>
    <col min="10" max="10" width="14.7109375" style="3" customWidth="1"/>
    <col min="11" max="12" width="14.7109375" customWidth="1"/>
    <col min="13" max="13" width="14.28515625" customWidth="1"/>
    <col min="14" max="14" width="11.28515625" customWidth="1"/>
    <col min="15" max="15" width="3.42578125" customWidth="1"/>
    <col min="16" max="16" width="8.5703125" customWidth="1"/>
    <col min="18" max="18" width="8" bestFit="1" customWidth="1"/>
    <col min="19" max="19" width="8.5703125" customWidth="1"/>
    <col min="20" max="20" width="12.28515625" customWidth="1"/>
    <col min="21" max="21" width="3" customWidth="1"/>
    <col min="22" max="22" width="5.5703125" customWidth="1"/>
    <col min="23" max="23" width="7.7109375" customWidth="1"/>
    <col min="24" max="24" width="6.5703125" customWidth="1"/>
    <col min="25" max="25" width="9.5703125" customWidth="1"/>
    <col min="26" max="26" width="10.28515625" customWidth="1"/>
    <col min="27" max="27" width="10.7109375" customWidth="1"/>
    <col min="29" max="29" width="13.85546875" customWidth="1"/>
    <col min="31" max="31" width="10.42578125" customWidth="1"/>
    <col min="32" max="32" width="7.28515625" customWidth="1"/>
  </cols>
  <sheetData>
    <row r="1" spans="1:32" ht="43.5" customHeight="1">
      <c r="B1" s="5"/>
      <c r="C1" s="5"/>
      <c r="M1" s="18" t="s">
        <v>61</v>
      </c>
      <c r="P1" s="6" t="s">
        <v>36</v>
      </c>
      <c r="R1" s="6"/>
      <c r="S1" s="4" t="s">
        <v>39</v>
      </c>
      <c r="T1" s="4" t="s">
        <v>40</v>
      </c>
      <c r="U1" s="4" t="s">
        <v>42</v>
      </c>
      <c r="V1" s="4" t="s">
        <v>6</v>
      </c>
      <c r="W1" s="4" t="s">
        <v>43</v>
      </c>
      <c r="X1" s="4" t="s">
        <v>5</v>
      </c>
      <c r="Y1" s="4" t="s">
        <v>53</v>
      </c>
      <c r="Z1" s="4" t="s">
        <v>52</v>
      </c>
      <c r="AA1" s="4" t="s">
        <v>54</v>
      </c>
      <c r="AC1" s="6" t="s">
        <v>64</v>
      </c>
      <c r="AE1" s="6" t="s">
        <v>63</v>
      </c>
      <c r="AF1" s="6" t="s">
        <v>73</v>
      </c>
    </row>
    <row r="2" spans="1:32" ht="13.5" customHeight="1">
      <c r="A2" s="5"/>
      <c r="B2" s="51"/>
      <c r="C2" s="51"/>
      <c r="G2" s="17" t="s">
        <v>59</v>
      </c>
      <c r="H2" s="2"/>
      <c r="I2" s="2"/>
      <c r="M2" s="18" t="s">
        <v>62</v>
      </c>
      <c r="N2" s="9" t="s">
        <v>68</v>
      </c>
      <c r="O2" s="6">
        <v>1</v>
      </c>
      <c r="P2" s="6" t="s">
        <v>34</v>
      </c>
      <c r="R2" s="6" t="s">
        <v>77</v>
      </c>
      <c r="S2" s="4" t="s">
        <v>78</v>
      </c>
      <c r="T2" s="4" t="s">
        <v>79</v>
      </c>
      <c r="U2" s="4">
        <v>2</v>
      </c>
      <c r="V2" s="4" t="s">
        <v>34</v>
      </c>
      <c r="W2" s="4" t="s">
        <v>34</v>
      </c>
      <c r="X2" s="4" t="s">
        <v>37</v>
      </c>
      <c r="Y2" s="4" t="s">
        <v>78</v>
      </c>
      <c r="AC2" s="6"/>
      <c r="AE2" s="6"/>
    </row>
    <row r="3" spans="1:32">
      <c r="A3" s="5"/>
      <c r="B3" s="280"/>
      <c r="C3" s="281"/>
      <c r="D3" s="74" t="s">
        <v>38</v>
      </c>
      <c r="G3" s="13" t="s">
        <v>31</v>
      </c>
      <c r="H3" s="16" t="e">
        <f ca="1">[1]!blptoday()</f>
        <v>#NAME?</v>
      </c>
      <c r="I3" s="13" t="s">
        <v>25</v>
      </c>
      <c r="J3" s="85" t="e">
        <f ca="1">"CDR="&amp;J6</f>
        <v>#NAME?</v>
      </c>
      <c r="N3" s="9" t="s">
        <v>69</v>
      </c>
      <c r="O3" s="6">
        <v>2</v>
      </c>
      <c r="P3" s="6" t="s">
        <v>2</v>
      </c>
      <c r="R3" s="6" t="s">
        <v>38</v>
      </c>
      <c r="S3" s="4" t="s">
        <v>4</v>
      </c>
      <c r="T3" s="4" t="s">
        <v>41</v>
      </c>
      <c r="U3" s="4">
        <v>2</v>
      </c>
      <c r="V3" s="4" t="s">
        <v>34</v>
      </c>
      <c r="W3" s="4" t="s">
        <v>34</v>
      </c>
      <c r="X3" s="7" t="s">
        <v>37</v>
      </c>
      <c r="Y3" s="4" t="s">
        <v>4</v>
      </c>
      <c r="AC3" s="6" t="s">
        <v>45</v>
      </c>
      <c r="AE3" s="6" t="s">
        <v>56</v>
      </c>
      <c r="AF3" s="6">
        <v>1</v>
      </c>
    </row>
    <row r="4" spans="1:32">
      <c r="B4" s="282" t="s">
        <v>124</v>
      </c>
      <c r="C4" s="283"/>
      <c r="D4" s="74" t="s">
        <v>65</v>
      </c>
      <c r="G4" s="14" t="str">
        <f>"T+"&amp;INDEX($U$2:$U$3,MATCH($D$3,$R$2:$R$3,FALSE))</f>
        <v>T+2</v>
      </c>
      <c r="H4" s="75" t="e">
        <f ca="1">_xll.BAddPeriods($H$3,"Per=wd","NumberOfPeriods="&amp;RIGHT(G4,1),$J$3)</f>
        <v>#NAME?</v>
      </c>
      <c r="I4" s="14" t="s">
        <v>1</v>
      </c>
      <c r="J4" s="68" t="s">
        <v>33</v>
      </c>
      <c r="N4" s="9" t="s">
        <v>55</v>
      </c>
      <c r="O4" s="6">
        <v>4</v>
      </c>
      <c r="P4" s="8" t="s">
        <v>37</v>
      </c>
      <c r="R4" s="76" t="e">
        <f>RTD("bloomberg.ccyreader", "", "#track", "DBG", "XCLR", "1.1", 1)</f>
        <v>#N/A</v>
      </c>
      <c r="AC4" s="6" t="s">
        <v>65</v>
      </c>
      <c r="AE4" s="6" t="s">
        <v>35</v>
      </c>
      <c r="AF4" s="6">
        <v>5</v>
      </c>
    </row>
    <row r="5" spans="1:32" ht="12.75" customHeight="1">
      <c r="A5" s="98">
        <f>D5*1000</f>
        <v>5000</v>
      </c>
      <c r="B5" s="280" t="s">
        <v>71</v>
      </c>
      <c r="C5" s="281"/>
      <c r="D5" s="74">
        <v>5</v>
      </c>
      <c r="E5" t="s">
        <v>72</v>
      </c>
      <c r="F5" s="68"/>
      <c r="G5" s="15" t="s">
        <v>44</v>
      </c>
      <c r="H5" s="68" t="str">
        <f>D4</f>
        <v>CMPL</v>
      </c>
      <c r="I5" s="15" t="s">
        <v>46</v>
      </c>
      <c r="J5" s="69" t="e">
        <f ca="1">_xll.BDP(D3&amp;" Curncy","BB_CRNCY_CODE")</f>
        <v>#NAME?</v>
      </c>
      <c r="N5" s="9" t="s">
        <v>70</v>
      </c>
      <c r="O5" s="6">
        <v>12</v>
      </c>
      <c r="AC5" s="6" t="s">
        <v>66</v>
      </c>
      <c r="AE5" s="6" t="s">
        <v>57</v>
      </c>
      <c r="AF5" s="6">
        <v>10</v>
      </c>
    </row>
    <row r="6" spans="1:32">
      <c r="F6" s="68"/>
      <c r="G6" s="70" t="s">
        <v>43</v>
      </c>
      <c r="H6" s="72" t="str">
        <f>INDEX($T$2:$T$3,MATCH($D$3,$R$2:$R$3,FALSE))</f>
        <v>ED</v>
      </c>
      <c r="I6" s="71" t="s">
        <v>76</v>
      </c>
      <c r="J6" s="72" t="e">
        <f ca="1">_xll.BDP(D3&amp;" Curncy","CALENDAR_CODE")</f>
        <v>#NAME?</v>
      </c>
      <c r="AC6" s="6" t="s">
        <v>102</v>
      </c>
      <c r="AE6" s="6"/>
      <c r="AF6" s="6">
        <v>60</v>
      </c>
    </row>
    <row r="7" spans="1:32" ht="13.5" customHeight="1">
      <c r="A7" s="3"/>
      <c r="B7" s="3"/>
      <c r="C7" s="3"/>
      <c r="D7" s="3"/>
      <c r="E7" s="3"/>
      <c r="AC7" s="6" t="s">
        <v>67</v>
      </c>
      <c r="AE7" s="6"/>
    </row>
    <row r="8" spans="1:32" ht="13.5" customHeight="1">
      <c r="A8" s="60"/>
      <c r="B8" s="58"/>
      <c r="C8" s="59"/>
      <c r="D8" s="5"/>
    </row>
    <row r="9" spans="1:32" ht="13.5" customHeight="1">
      <c r="L9" s="88"/>
      <c r="AE9" s="119"/>
    </row>
    <row r="10" spans="1:32" ht="13.5" customHeight="1">
      <c r="A10" s="54" t="s">
        <v>75</v>
      </c>
      <c r="B10" s="54"/>
      <c r="C10" s="55"/>
      <c r="D10" s="55"/>
      <c r="E10" s="55"/>
      <c r="F10" s="55"/>
      <c r="G10" s="55"/>
      <c r="H10" s="56"/>
      <c r="I10" s="56"/>
      <c r="J10" s="57"/>
      <c r="L10" s="3"/>
    </row>
    <row r="11" spans="1:32">
      <c r="A11" s="10"/>
      <c r="B11" s="12"/>
      <c r="C11" s="12"/>
      <c r="D11" s="12" t="s">
        <v>57</v>
      </c>
      <c r="E11" s="12" t="s">
        <v>56</v>
      </c>
      <c r="F11" s="12" t="s">
        <v>35</v>
      </c>
      <c r="G11" s="12" t="s">
        <v>58</v>
      </c>
      <c r="H11" s="12" t="s">
        <v>60</v>
      </c>
      <c r="I11" s="12" t="s">
        <v>26</v>
      </c>
      <c r="J11" s="86" t="s">
        <v>74</v>
      </c>
      <c r="L11" s="67"/>
    </row>
    <row r="12" spans="1:32" ht="12.75" customHeight="1">
      <c r="A12" s="307" t="s">
        <v>93</v>
      </c>
      <c r="B12" s="39" t="s">
        <v>47</v>
      </c>
      <c r="C12" s="40" t="str">
        <f>"USSO1Z " &amp; $H$5 &amp; " Curncy"</f>
        <v>USSO1Z CMPL Curncy</v>
      </c>
      <c r="D12" s="41" t="e">
        <f ca="1">IF(ISNUMBER(_xll.BDP(C12,$D$11,"UpdFreq="&amp;$A$5)),(_xll.BDP(C12,$D$11,"UpdFreq="&amp;$A$5)+G12)/100,(_xll.BDP(C12,"LAST PRICE","UpdFreq="&amp;$A$5)+G12)/100)</f>
        <v>#NAME?</v>
      </c>
      <c r="E12" s="41" t="e">
        <f ca="1">IF(ISNUMBER(_xll.BDP(C12,$E$11,"UpdFreq="&amp;$A$5)),(_xll.BDP(C12,$E$11,"UpdFreq="&amp;$A$5)+G12)/100,(_xll.BDP(C12,"LAST PRICE","UpdFreq="&amp;$A$5)+G12)/100)</f>
        <v>#NAME?</v>
      </c>
      <c r="F12" s="41" t="e">
        <f t="shared" ref="F12:F40" ca="1" si="0">AVERAGE(D12,E12)</f>
        <v>#NAME?</v>
      </c>
      <c r="G12" s="225"/>
      <c r="H12" s="79">
        <f t="shared" ref="H12:H23" si="1">VALUE(LEFT(B12,1))</f>
        <v>1</v>
      </c>
      <c r="I12" s="42" t="s">
        <v>28</v>
      </c>
      <c r="J12" s="83" t="e">
        <f ca="1">_xll.BAddPeriods($H$4,"Per="&amp;I12,"NumberOfPeriods="&amp;H12,$J$3,$J$4)</f>
        <v>#NAME?</v>
      </c>
      <c r="L12" s="89"/>
    </row>
    <row r="13" spans="1:32" ht="12.75" customHeight="1">
      <c r="A13" s="308"/>
      <c r="B13" s="43" t="s">
        <v>80</v>
      </c>
      <c r="C13" s="44" t="str">
        <f>"USSO2Z " &amp; $H$5 &amp; " Curncy"</f>
        <v>USSO2Z CMPL Curncy</v>
      </c>
      <c r="D13" s="45" t="e">
        <f ca="1">IF(ISNUMBER(_xll.BDP(C13,$D$11,"UpdFreq="&amp;$A$5)),(_xll.BDP(C13,$D$11,"UpdFreq="&amp;$A$5)+G13)/100,(_xll.BDP(C13,"LAST PRICE","UpdFreq="&amp;$A$5)+G13)/100)</f>
        <v>#NAME?</v>
      </c>
      <c r="E13" s="45" t="e">
        <f ca="1">IF(ISNUMBER(_xll.BDP(C13,$E$11,"UpdFreq="&amp;$A$5)),(_xll.BDP(C13,$E$11,"UpdFreq="&amp;$A$5)+G13)/100,(_xll.BDP(C13,"LAST PRICE","UpdFreq="&amp;$A$5)+G13)/100)</f>
        <v>#NAME?</v>
      </c>
      <c r="F13" s="45" t="e">
        <f t="shared" ca="1" si="0"/>
        <v>#NAME?</v>
      </c>
      <c r="G13" s="224"/>
      <c r="H13" s="80">
        <f t="shared" si="1"/>
        <v>2</v>
      </c>
      <c r="I13" s="46" t="s">
        <v>28</v>
      </c>
      <c r="J13" s="81" t="e">
        <f ca="1">_xll.BAddPeriods($H$4,"Per="&amp;I13,"NumberOfPeriods="&amp;H13,$J$3,$J$4)</f>
        <v>#NAME?</v>
      </c>
      <c r="L13" s="89"/>
    </row>
    <row r="14" spans="1:32">
      <c r="A14" s="308"/>
      <c r="B14" s="43" t="s">
        <v>81</v>
      </c>
      <c r="C14" s="44" t="str">
        <f>"USSO3Z " &amp; $H$5 &amp; " Curncy"</f>
        <v>USSO3Z CMPL Curncy</v>
      </c>
      <c r="D14" s="45" t="e">
        <f ca="1">IF(ISNUMBER(_xll.BDP(C14,$D$11,"UpdFreq="&amp;$A$5)),(_xll.BDP(C14,$D$11,"UpdFreq="&amp;$A$5)+G14)/100,(_xll.BDP(C14,"LAST PRICE","UpdFreq="&amp;$A$5)+G14)/100)</f>
        <v>#NAME?</v>
      </c>
      <c r="E14" s="45" t="e">
        <f ca="1">IF(ISNUMBER(_xll.BDP(C14,$E$11,"UpdFreq="&amp;$A$5)),(_xll.BDP(C14,$E$11,"UpdFreq="&amp;$A$5)+G14)/100,(_xll.BDP(C14,"LAST PRICE","UpdFreq="&amp;$A$5)+G14)/100)</f>
        <v>#NAME?</v>
      </c>
      <c r="F14" s="45" t="e">
        <f t="shared" ca="1" si="0"/>
        <v>#NAME?</v>
      </c>
      <c r="G14" s="224"/>
      <c r="H14" s="80">
        <f t="shared" si="1"/>
        <v>3</v>
      </c>
      <c r="I14" s="46" t="s">
        <v>28</v>
      </c>
      <c r="J14" s="81" t="e">
        <f ca="1">_xll.BAddPeriods($H$4,"Per="&amp;I14,"NumberOfPeriods="&amp;H14,$J$3,$J$4)</f>
        <v>#NAME?</v>
      </c>
      <c r="L14" s="89"/>
    </row>
    <row r="15" spans="1:32">
      <c r="A15" s="308"/>
      <c r="B15" s="43" t="s">
        <v>48</v>
      </c>
      <c r="C15" s="44" t="str">
        <f>"USSOA " &amp; $H$5 &amp; " Curncy"</f>
        <v>USSOA CMPL Curncy</v>
      </c>
      <c r="D15" s="45" t="e">
        <f ca="1">IF(ISNUMBER(_xll.BDP(C15,$D$11,"UpdFreq="&amp;$A$5)),(_xll.BDP(C15,$D$11,"UpdFreq="&amp;$A$5)+G15)/100,(_xll.BDP(C15,"LAST PRICE","UpdFreq="&amp;$A$5)+G15)/100)</f>
        <v>#NAME?</v>
      </c>
      <c r="E15" s="45" t="e">
        <f ca="1">IF(ISNUMBER(_xll.BDP(C15,$E$11,"UpdFreq="&amp;$A$5)),(_xll.BDP(C15,$E$11,"UpdFreq="&amp;$A$5)+G15)/100,(_xll.BDP(C15,"LAST PRICE","UpdFreq="&amp;$A$5)+G15)/100)</f>
        <v>#NAME?</v>
      </c>
      <c r="F15" s="45" t="e">
        <f t="shared" ca="1" si="0"/>
        <v>#NAME?</v>
      </c>
      <c r="G15" s="224"/>
      <c r="H15" s="80">
        <f t="shared" si="1"/>
        <v>1</v>
      </c>
      <c r="I15" s="46" t="s">
        <v>29</v>
      </c>
      <c r="J15" s="81" t="e">
        <f ca="1">_xll.BAddPeriods($H$4,"Per="&amp;I15,"NumberOfPeriods="&amp;H15,$J$3,$J$4)</f>
        <v>#NAME?</v>
      </c>
      <c r="L15" s="89"/>
    </row>
    <row r="16" spans="1:32">
      <c r="A16" s="308"/>
      <c r="B16" s="43" t="s">
        <v>49</v>
      </c>
      <c r="C16" s="44" t="str">
        <f>"USSOB " &amp; $H$5 &amp; " Curncy"</f>
        <v>USSOB CMPL Curncy</v>
      </c>
      <c r="D16" s="45" t="e">
        <f ca="1">IF(ISNUMBER(_xll.BDP(C16,$D$11,"UpdFreq="&amp;$A$5)),(_xll.BDP(C16,$D$11,"UpdFreq="&amp;$A$5)+G16)/100,(_xll.BDP(C16,"LAST PRICE","UpdFreq="&amp;$A$5)+G16)/100)</f>
        <v>#NAME?</v>
      </c>
      <c r="E16" s="45" t="e">
        <f ca="1">IF(ISNUMBER(_xll.BDP(C16,$E$11,"UpdFreq="&amp;$A$5)),(_xll.BDP(C16,$E$11,"UpdFreq="&amp;$A$5)+G16)/100,(_xll.BDP(C16,"LAST PRICE","UpdFreq="&amp;$A$5)+G16)/100)</f>
        <v>#NAME?</v>
      </c>
      <c r="F16" s="45" t="e">
        <f t="shared" ca="1" si="0"/>
        <v>#NAME?</v>
      </c>
      <c r="G16" s="224"/>
      <c r="H16" s="80">
        <f t="shared" si="1"/>
        <v>2</v>
      </c>
      <c r="I16" s="46" t="s">
        <v>29</v>
      </c>
      <c r="J16" s="81" t="e">
        <f ca="1">_xll.BAddPeriods($H$4,"Per="&amp;I16,"NumberOfPeriods="&amp;H16,$J$3,$J$4)</f>
        <v>#NAME?</v>
      </c>
      <c r="L16" s="89"/>
    </row>
    <row r="17" spans="1:12" ht="12.75" customHeight="1">
      <c r="A17" s="308"/>
      <c r="B17" s="43" t="s">
        <v>50</v>
      </c>
      <c r="C17" s="44" t="str">
        <f>"USSOC " &amp; $H$5 &amp; " Curncy"</f>
        <v>USSOC CMPL Curncy</v>
      </c>
      <c r="D17" s="45" t="e">
        <f ca="1">IF(ISNUMBER(_xll.BDP(C17,$D$11,"UpdFreq="&amp;$A$5)),(_xll.BDP(C17,$D$11,"UpdFreq="&amp;$A$5)+G17)/100,(_xll.BDP(C17,"LAST PRICE","UpdFreq="&amp;$A$5)+G17)/100)</f>
        <v>#NAME?</v>
      </c>
      <c r="E17" s="45" t="e">
        <f ca="1">IF(ISNUMBER(_xll.BDP(C17,$E$11,"UpdFreq="&amp;$A$5)),(_xll.BDP(C17,$E$11,"UpdFreq="&amp;$A$5)+G17)/100,(_xll.BDP(C17,"LAST PRICE","UpdFreq="&amp;$A$5)+G17)/100)</f>
        <v>#NAME?</v>
      </c>
      <c r="F17" s="45" t="e">
        <f t="shared" ca="1" si="0"/>
        <v>#NAME?</v>
      </c>
      <c r="G17" s="224"/>
      <c r="H17" s="80">
        <f t="shared" si="1"/>
        <v>3</v>
      </c>
      <c r="I17" s="46" t="s">
        <v>29</v>
      </c>
      <c r="J17" s="81" t="e">
        <f ca="1">_xll.BAddPeriods($H$4,"Per="&amp;I17,"NumberOfPeriods="&amp;H17,$J$3,$J$4)</f>
        <v>#NAME?</v>
      </c>
      <c r="L17" s="89"/>
    </row>
    <row r="18" spans="1:12">
      <c r="A18" s="308"/>
      <c r="B18" s="43" t="s">
        <v>82</v>
      </c>
      <c r="C18" s="44" t="str">
        <f>"USSOD " &amp; $H$5 &amp; " Curncy"</f>
        <v>USSOD CMPL Curncy</v>
      </c>
      <c r="D18" s="45" t="e">
        <f ca="1">IF(ISNUMBER(_xll.BDP(C18,$D$11,"UpdFreq="&amp;$A$5)),(_xll.BDP(C18,$D$11,"UpdFreq="&amp;$A$5)+G18)/100,(_xll.BDP(C18,"LAST PRICE","UpdFreq="&amp;$A$5)+G18)/100)</f>
        <v>#NAME?</v>
      </c>
      <c r="E18" s="45" t="e">
        <f ca="1">IF(ISNUMBER(_xll.BDP(C18,$E$11,"UpdFreq="&amp;$A$5)),(_xll.BDP(C18,$E$11,"UpdFreq="&amp;$A$5)+G18)/100,(_xll.BDP(C18,"LAST PRICE","UpdFreq="&amp;$A$5)+G18)/100)</f>
        <v>#NAME?</v>
      </c>
      <c r="F18" s="45" t="e">
        <f t="shared" ca="1" si="0"/>
        <v>#NAME?</v>
      </c>
      <c r="G18" s="224"/>
      <c r="H18" s="80">
        <f t="shared" si="1"/>
        <v>4</v>
      </c>
      <c r="I18" s="46" t="s">
        <v>29</v>
      </c>
      <c r="J18" s="81" t="e">
        <f ca="1">_xll.BAddPeriods($H$4,"Per="&amp;I18,"NumberOfPeriods="&amp;H18,$J$3,$J$4)</f>
        <v>#NAME?</v>
      </c>
      <c r="L18" s="89"/>
    </row>
    <row r="19" spans="1:12">
      <c r="A19" s="308"/>
      <c r="B19" s="43" t="s">
        <v>83</v>
      </c>
      <c r="C19" s="44" t="str">
        <f>"USSOE " &amp; $H$5 &amp; " Curncy"</f>
        <v>USSOE CMPL Curncy</v>
      </c>
      <c r="D19" s="45" t="e">
        <f ca="1">IF(ISNUMBER(_xll.BDP(C19,$D$11,"UpdFreq="&amp;$A$5)),(_xll.BDP(C19,$D$11,"UpdFreq="&amp;$A$5)+G19)/100,(_xll.BDP(C19,"LAST PRICE","UpdFreq="&amp;$A$5)+G19)/100)</f>
        <v>#NAME?</v>
      </c>
      <c r="E19" s="45" t="e">
        <f ca="1">IF(ISNUMBER(_xll.BDP(C19,$E$11,"UpdFreq="&amp;$A$5)),(_xll.BDP(C19,$E$11,"UpdFreq="&amp;$A$5)+G19)/100,(_xll.BDP(C19,"LAST PRICE","UpdFreq="&amp;$A$5)+G19)/100)</f>
        <v>#NAME?</v>
      </c>
      <c r="F19" s="45" t="e">
        <f t="shared" ca="1" si="0"/>
        <v>#NAME?</v>
      </c>
      <c r="G19" s="224"/>
      <c r="H19" s="80">
        <f t="shared" si="1"/>
        <v>5</v>
      </c>
      <c r="I19" s="46" t="s">
        <v>29</v>
      </c>
      <c r="J19" s="81" t="e">
        <f ca="1">_xll.BAddPeriods($H$4,"Per="&amp;I19,"NumberOfPeriods="&amp;H19,$J$3,$J$4)</f>
        <v>#NAME?</v>
      </c>
      <c r="L19" s="89"/>
    </row>
    <row r="20" spans="1:12">
      <c r="A20" s="308"/>
      <c r="B20" s="43" t="s">
        <v>84</v>
      </c>
      <c r="C20" s="44" t="str">
        <f>"USSOF " &amp; $H$5 &amp; " Curncy"</f>
        <v>USSOF CMPL Curncy</v>
      </c>
      <c r="D20" s="45" t="e">
        <f ca="1">IF(ISNUMBER(_xll.BDP(C20,$D$11,"UpdFreq="&amp;$A$5)),(_xll.BDP(C20,$D$11,"UpdFreq="&amp;$A$5)+G20)/100,(_xll.BDP(C20,"LAST PRICE","UpdFreq="&amp;$A$5)+G20)/100)</f>
        <v>#NAME?</v>
      </c>
      <c r="E20" s="45" t="e">
        <f ca="1">IF(ISNUMBER(_xll.BDP(C20,$E$11,"UpdFreq="&amp;$A$5)),(_xll.BDP(C20,$E$11,"UpdFreq="&amp;$A$5)+G20)/100,(_xll.BDP(C20,"LAST PRICE","UpdFreq="&amp;$A$5)+G20)/100)</f>
        <v>#NAME?</v>
      </c>
      <c r="F20" s="45" t="e">
        <f t="shared" ca="1" si="0"/>
        <v>#NAME?</v>
      </c>
      <c r="G20" s="224"/>
      <c r="H20" s="80">
        <f t="shared" si="1"/>
        <v>6</v>
      </c>
      <c r="I20" s="46" t="s">
        <v>29</v>
      </c>
      <c r="J20" s="81" t="e">
        <f ca="1">_xll.BAddPeriods($H$4,"Per="&amp;I20,"NumberOfPeriods="&amp;H20,$J$3,$J$4)</f>
        <v>#NAME?</v>
      </c>
      <c r="L20" s="89"/>
    </row>
    <row r="21" spans="1:12">
      <c r="A21" s="308"/>
      <c r="B21" s="43" t="s">
        <v>85</v>
      </c>
      <c r="C21" s="44" t="str">
        <f>"USSOG " &amp; $H$5 &amp; " Curncy"</f>
        <v>USSOG CMPL Curncy</v>
      </c>
      <c r="D21" s="45" t="e">
        <f ca="1">IF(ISNUMBER(_xll.BDP(C21,$D$11,"UpdFreq="&amp;$A$5)),(_xll.BDP(C21,$D$11,"UpdFreq="&amp;$A$5)+G21)/100,(_xll.BDP(C21,"LAST PRICE","UpdFreq="&amp;$A$5)+G21)/100)</f>
        <v>#NAME?</v>
      </c>
      <c r="E21" s="45" t="e">
        <f ca="1">IF(ISNUMBER(_xll.BDP(C21,$E$11,"UpdFreq="&amp;$A$5)),(_xll.BDP(C21,$E$11,"UpdFreq="&amp;$A$5)+G21)/100,(_xll.BDP(C21,"LAST PRICE","UpdFreq="&amp;$A$5)+G21)/100)</f>
        <v>#NAME?</v>
      </c>
      <c r="F21" s="45" t="e">
        <f t="shared" ca="1" si="0"/>
        <v>#NAME?</v>
      </c>
      <c r="G21" s="224"/>
      <c r="H21" s="80">
        <f t="shared" si="1"/>
        <v>7</v>
      </c>
      <c r="I21" s="46" t="s">
        <v>29</v>
      </c>
      <c r="J21" s="81" t="e">
        <f ca="1">_xll.BAddPeriods($H$4,"Per="&amp;I21,"NumberOfPeriods="&amp;H21,$J$3,$J$4)</f>
        <v>#NAME?</v>
      </c>
      <c r="L21" s="89"/>
    </row>
    <row r="22" spans="1:12">
      <c r="A22" s="308"/>
      <c r="B22" s="43" t="s">
        <v>86</v>
      </c>
      <c r="C22" s="44" t="str">
        <f>"USSOH " &amp; $H$5 &amp; " Curncy"</f>
        <v>USSOH CMPL Curncy</v>
      </c>
      <c r="D22" s="45" t="e">
        <f ca="1">IF(ISNUMBER(_xll.BDP(C22,$D$11,"UpdFreq="&amp;$A$5)),(_xll.BDP(C22,$D$11,"UpdFreq="&amp;$A$5)+G22)/100,(_xll.BDP(C22,"LAST PRICE","UpdFreq="&amp;$A$5)+G22)/100)</f>
        <v>#NAME?</v>
      </c>
      <c r="E22" s="45" t="e">
        <f ca="1">IF(ISNUMBER(_xll.BDP(C22,$E$11,"UpdFreq="&amp;$A$5)),(_xll.BDP(C22,$E$11,"UpdFreq="&amp;$A$5)+G22)/100,(_xll.BDP(C22,"LAST PRICE","UpdFreq="&amp;$A$5)+G22)/100)</f>
        <v>#NAME?</v>
      </c>
      <c r="F22" s="45" t="e">
        <f t="shared" ca="1" si="0"/>
        <v>#NAME?</v>
      </c>
      <c r="G22" s="224"/>
      <c r="H22" s="80">
        <f t="shared" si="1"/>
        <v>8</v>
      </c>
      <c r="I22" s="46" t="s">
        <v>29</v>
      </c>
      <c r="J22" s="81" t="e">
        <f ca="1">_xll.BAddPeriods($H$4,"Per="&amp;I22,"NumberOfPeriods="&amp;H22,$J$3,$J$4)</f>
        <v>#NAME?</v>
      </c>
      <c r="L22" s="89"/>
    </row>
    <row r="23" spans="1:12">
      <c r="A23" s="308"/>
      <c r="B23" s="43" t="s">
        <v>87</v>
      </c>
      <c r="C23" s="44" t="str">
        <f>"USSOI " &amp; $H$5 &amp; " Curncy"</f>
        <v>USSOI CMPL Curncy</v>
      </c>
      <c r="D23" s="45" t="e">
        <f ca="1">IF(ISNUMBER(_xll.BDP(C23,$D$11,"UpdFreq="&amp;$A$5)),(_xll.BDP(C23,$D$11,"UpdFreq="&amp;$A$5)+G23)/100,(_xll.BDP(C23,"LAST PRICE","UpdFreq="&amp;$A$5)+G23)/100)</f>
        <v>#NAME?</v>
      </c>
      <c r="E23" s="45" t="e">
        <f ca="1">IF(ISNUMBER(_xll.BDP(C23,$E$11,"UpdFreq="&amp;$A$5)),(_xll.BDP(C23,$E$11,"UpdFreq="&amp;$A$5)+G23)/100,(_xll.BDP(C23,"LAST PRICE","UpdFreq="&amp;$A$5)+G23)/100)</f>
        <v>#NAME?</v>
      </c>
      <c r="F23" s="45" t="e">
        <f t="shared" ca="1" si="0"/>
        <v>#NAME?</v>
      </c>
      <c r="G23" s="224"/>
      <c r="H23" s="80">
        <f t="shared" si="1"/>
        <v>9</v>
      </c>
      <c r="I23" s="46" t="s">
        <v>29</v>
      </c>
      <c r="J23" s="81" t="e">
        <f ca="1">_xll.BAddPeriods($H$4,"Per="&amp;I23,"NumberOfPeriods="&amp;H23,$J$3,$J$4)</f>
        <v>#NAME?</v>
      </c>
      <c r="L23" s="89"/>
    </row>
    <row r="24" spans="1:12">
      <c r="A24" s="308"/>
      <c r="B24" s="43" t="s">
        <v>88</v>
      </c>
      <c r="C24" s="44" t="str">
        <f>"USSOJ " &amp; $H$5 &amp; " Curncy"</f>
        <v>USSOJ CMPL Curncy</v>
      </c>
      <c r="D24" s="45" t="e">
        <f ca="1">IF(ISNUMBER(_xll.BDP(C24,$D$11,"UpdFreq="&amp;$A$5)),(_xll.BDP(C24,$D$11,"UpdFreq="&amp;$A$5)+G24)/100,(_xll.BDP(C24,"LAST PRICE","UpdFreq="&amp;$A$5)+G24)/100)</f>
        <v>#NAME?</v>
      </c>
      <c r="E24" s="45" t="e">
        <f ca="1">IF(ISNUMBER(_xll.BDP(C24,$E$11,"UpdFreq="&amp;$A$5)),(_xll.BDP(C24,$E$11,"UpdFreq="&amp;$A$5)+G24)/100,(_xll.BDP(C24,"LAST PRICE","UpdFreq="&amp;$A$5)+G24)/100)</f>
        <v>#NAME?</v>
      </c>
      <c r="F24" s="45" t="e">
        <f t="shared" ca="1" si="0"/>
        <v>#NAME?</v>
      </c>
      <c r="G24" s="224"/>
      <c r="H24" s="80">
        <f>VALUE(LEFT(B24,2))</f>
        <v>10</v>
      </c>
      <c r="I24" s="46" t="s">
        <v>29</v>
      </c>
      <c r="J24" s="81" t="e">
        <f ca="1">_xll.BAddPeriods($H$4,"Per="&amp;I24,"NumberOfPeriods="&amp;H24,$J$3,$J$4)</f>
        <v>#NAME?</v>
      </c>
      <c r="L24" s="89"/>
    </row>
    <row r="25" spans="1:12" ht="12.75" customHeight="1">
      <c r="A25" s="308"/>
      <c r="B25" s="43" t="s">
        <v>89</v>
      </c>
      <c r="C25" s="44" t="str">
        <f>"USSOK " &amp; $H$5 &amp; " Curncy"</f>
        <v>USSOK CMPL Curncy</v>
      </c>
      <c r="D25" s="45" t="e">
        <f ca="1">IF(ISNUMBER(_xll.BDP(C25,$D$11,"UpdFreq="&amp;$A$5)),(_xll.BDP(C25,$D$11,"UpdFreq="&amp;$A$5)+G25)/100,(_xll.BDP(C25,"LAST PRICE","UpdFreq="&amp;$A$5)+G25)/100)</f>
        <v>#NAME?</v>
      </c>
      <c r="E25" s="45" t="e">
        <f ca="1">IF(ISNUMBER(_xll.BDP(C25,$E$11,"UpdFreq="&amp;$A$5)),(_xll.BDP(C25,$E$11,"UpdFreq="&amp;$A$5)+G25)/100,(_xll.BDP(C25,"LAST PRICE","UpdFreq="&amp;$A$5)+G25)/100)</f>
        <v>#NAME?</v>
      </c>
      <c r="F25" s="45" t="e">
        <f t="shared" ca="1" si="0"/>
        <v>#NAME?</v>
      </c>
      <c r="G25" s="224"/>
      <c r="H25" s="80">
        <f>VALUE(LEFT(B25,2))</f>
        <v>11</v>
      </c>
      <c r="I25" s="46" t="s">
        <v>29</v>
      </c>
      <c r="J25" s="81" t="e">
        <f ca="1">_xll.BAddPeriods($H$4,"Per="&amp;I25,"NumberOfPeriods="&amp;H25,$J$3,$J$4)</f>
        <v>#NAME?</v>
      </c>
      <c r="L25" s="89"/>
    </row>
    <row r="26" spans="1:12">
      <c r="A26" s="308"/>
      <c r="B26" s="43" t="s">
        <v>3</v>
      </c>
      <c r="C26" s="44" t="str">
        <f>"USSO1 " &amp; $H$5 &amp; " Curncy"</f>
        <v>USSO1 CMPL Curncy</v>
      </c>
      <c r="D26" s="45" t="e">
        <f ca="1">IF(ISNUMBER(_xll.BDP(C26,$D$11,"UpdFreq="&amp;$A$5)),(_xll.BDP(C26,$D$11,"UpdFreq="&amp;$A$5)+G26)/100,(_xll.BDP(C26,"LAST PRICE","UpdFreq="&amp;$A$5)+G26)/100)</f>
        <v>#NAME?</v>
      </c>
      <c r="E26" s="45" t="e">
        <f ca="1">IF(ISNUMBER(_xll.BDP(C26,$E$11,"UpdFreq="&amp;$A$5)),(_xll.BDP(C26,$E$11,"UpdFreq="&amp;$A$5)+G26)/100,(_xll.BDP(C26,"LAST PRICE","UpdFreq="&amp;$A$5)+G26)/100)</f>
        <v>#NAME?</v>
      </c>
      <c r="F26" s="45" t="e">
        <f t="shared" ca="1" si="0"/>
        <v>#NAME?</v>
      </c>
      <c r="G26" s="224"/>
      <c r="H26" s="80">
        <f>VALUE(LEFT(B26,1))</f>
        <v>1</v>
      </c>
      <c r="I26" s="46" t="s">
        <v>30</v>
      </c>
      <c r="J26" s="81" t="e">
        <f ca="1">_xll.BAddPeriods($H$4,"Per="&amp;I26,"NumberOfPeriods="&amp;H26,$J$3,$J$4)</f>
        <v>#NAME?</v>
      </c>
      <c r="L26" s="89"/>
    </row>
    <row r="27" spans="1:12">
      <c r="A27" s="308"/>
      <c r="B27" s="43" t="s">
        <v>92</v>
      </c>
      <c r="C27" s="44" t="str">
        <f>"USSO1C " &amp; $H$5 &amp; " Curncy"</f>
        <v>USSO1C CMPL Curncy</v>
      </c>
      <c r="D27" s="45" t="e">
        <f ca="1">IF(ISNUMBER(_xll.BDP(C27,$D$11,"UpdFreq="&amp;$A$5)),(_xll.BDP(C27,$D$11,"UpdFreq="&amp;$A$5)+G27)/100,(_xll.BDP(C27,"LAST PRICE","UpdFreq="&amp;$A$5)+G27)/100)</f>
        <v>#NAME?</v>
      </c>
      <c r="E27" s="45" t="e">
        <f ca="1">IF(ISNUMBER(_xll.BDP(C27,$E$11,"UpdFreq="&amp;$A$5)),(_xll.BDP(C27,$E$11,"UpdFreq="&amp;$A$5)+G27)/100,(_xll.BDP(C27,"LAST PRICE","UpdFreq="&amp;$A$5)+G27)/100)</f>
        <v>#NAME?</v>
      </c>
      <c r="F27" s="45" t="e">
        <f t="shared" ca="1" si="0"/>
        <v>#NAME?</v>
      </c>
      <c r="G27" s="73"/>
      <c r="H27" s="80">
        <f>VALUE(LEFT(B27,2))</f>
        <v>15</v>
      </c>
      <c r="I27" s="46" t="s">
        <v>29</v>
      </c>
      <c r="J27" s="81" t="e">
        <f ca="1">_xll.BAddPeriods($H$4,"Per="&amp;I27,"NumberOfPeriods="&amp;H27,$J$3,$J$4)</f>
        <v>#NAME?</v>
      </c>
      <c r="L27" s="89"/>
    </row>
    <row r="28" spans="1:12">
      <c r="A28" s="308"/>
      <c r="B28" s="43" t="s">
        <v>90</v>
      </c>
      <c r="C28" s="44" t="str">
        <f>"USSO1F  " &amp; $H$5 &amp; " Curncy"</f>
        <v>USSO1F  CMPL Curncy</v>
      </c>
      <c r="D28" s="45" t="e">
        <f ca="1">IF(ISNUMBER(_xll.BDP(C28,$D$11,"UpdFreq="&amp;$A$5)),(_xll.BDP(C28,$D$11,"UpdFreq="&amp;$A$5)+G28)/100,(_xll.BDP(C28,"LAST PRICE","UpdFreq="&amp;$A$5)+G28)/100)</f>
        <v>#NAME?</v>
      </c>
      <c r="E28" s="45" t="e">
        <f ca="1">IF(ISNUMBER(_xll.BDP(C28,$E$11,"UpdFreq="&amp;$A$5)),(_xll.BDP(C28,$E$11,"UpdFreq="&amp;$A$5)+G28)/100,(_xll.BDP(C28,"LAST PRICE","UpdFreq="&amp;$A$5)+G28)/100)</f>
        <v>#NAME?</v>
      </c>
      <c r="F28" s="45" t="e">
        <f t="shared" ca="1" si="0"/>
        <v>#NAME?</v>
      </c>
      <c r="G28" s="73"/>
      <c r="H28" s="80">
        <f>VALUE(LEFT(B28,2))</f>
        <v>18</v>
      </c>
      <c r="I28" s="46" t="s">
        <v>29</v>
      </c>
      <c r="J28" s="81" t="e">
        <f ca="1">_xll.BAddPeriods($H$4,"Per="&amp;I28,"NumberOfPeriods="&amp;H28,$J$3,$J$4)</f>
        <v>#NAME?</v>
      </c>
      <c r="L28" s="89"/>
    </row>
    <row r="29" spans="1:12">
      <c r="A29" s="308"/>
      <c r="B29" s="43" t="s">
        <v>91</v>
      </c>
      <c r="C29" s="44" t="str">
        <f>"USSO1I  " &amp; $H$5 &amp; " Curncy"</f>
        <v>USSO1I  CMPL Curncy</v>
      </c>
      <c r="D29" s="45" t="e">
        <f ca="1">IF(ISNUMBER(_xll.BDP(C29,$D$11,"UpdFreq="&amp;$A$5)),(_xll.BDP(C29,$D$11,"UpdFreq="&amp;$A$5)+G29)/100,(_xll.BDP(C29,"LAST PRICE","UpdFreq="&amp;$A$5)+G29)/100)</f>
        <v>#NAME?</v>
      </c>
      <c r="E29" s="45" t="e">
        <f ca="1">IF(ISNUMBER(_xll.BDP(C29,$E$11,"UpdFreq="&amp;$A$5)),(_xll.BDP(C29,$E$11,"UpdFreq="&amp;$A$5)+G29)/100,(_xll.BDP(C29,"LAST PRICE","UpdFreq="&amp;$A$5)+G29)/100)</f>
        <v>#NAME?</v>
      </c>
      <c r="F29" s="45" t="e">
        <f t="shared" ca="1" si="0"/>
        <v>#NAME?</v>
      </c>
      <c r="G29" s="73"/>
      <c r="H29" s="80">
        <f>VALUE(LEFT(B29,2))</f>
        <v>21</v>
      </c>
      <c r="I29" s="46" t="s">
        <v>29</v>
      </c>
      <c r="J29" s="81" t="e">
        <f ca="1">_xll.BAddPeriods($H$4,"Per="&amp;I29,"NumberOfPeriods="&amp;H29,$J$3,$J$4)</f>
        <v>#NAME?</v>
      </c>
      <c r="L29" s="89"/>
    </row>
    <row r="30" spans="1:12">
      <c r="A30" s="308"/>
      <c r="B30" s="43" t="s">
        <v>7</v>
      </c>
      <c r="C30" s="44" t="str">
        <f>"USSO2 " &amp; $H$5 &amp; " Curncy"</f>
        <v>USSO2 CMPL Curncy</v>
      </c>
      <c r="D30" s="45" t="e">
        <f ca="1">IF(ISNUMBER(_xll.BDP(C30,$D$11,"UpdFreq="&amp;$A$5)),(_xll.BDP(C30,$D$11,"UpdFreq="&amp;$A$5)+G30)/100,(_xll.BDP(C30,"LAST PRICE","UpdFreq="&amp;$A$5)+G30)/100)</f>
        <v>#NAME?</v>
      </c>
      <c r="E30" s="45" t="e">
        <f ca="1">IF(ISNUMBER(_xll.BDP(C30,$E$11,"UpdFreq="&amp;$A$5)),(_xll.BDP(C30,$E$11,"UpdFreq="&amp;$A$5)+G30)/100,(_xll.BDP(C30,"LAST PRICE","UpdFreq="&amp;$A$5)+G30)/100)</f>
        <v>#NAME?</v>
      </c>
      <c r="F30" s="45" t="e">
        <f t="shared" ca="1" si="0"/>
        <v>#NAME?</v>
      </c>
      <c r="G30" s="73"/>
      <c r="H30" s="80">
        <f>VALUE(LEFT(B30,1))</f>
        <v>2</v>
      </c>
      <c r="I30" s="46" t="s">
        <v>30</v>
      </c>
      <c r="J30" s="81" t="e">
        <f ca="1">_xll.BAddPeriods($H$4,"Per="&amp;I30,"NumberOfPeriods="&amp;H30,$J$3,$J$4)</f>
        <v>#NAME?</v>
      </c>
      <c r="L30" s="89"/>
    </row>
    <row r="31" spans="1:12">
      <c r="A31" s="308"/>
      <c r="B31" s="43" t="s">
        <v>8</v>
      </c>
      <c r="C31" s="44" t="str">
        <f>"USSO3 " &amp; $H$5 &amp; " Curncy"</f>
        <v>USSO3 CMPL Curncy</v>
      </c>
      <c r="D31" s="45" t="e">
        <f ca="1">IF(ISNUMBER(_xll.BDP(C31,$D$11,"UpdFreq="&amp;$A$5)),(_xll.BDP(C31,$D$11,"UpdFreq="&amp;$A$5)+G31)/100,(_xll.BDP(C31,"LAST PRICE","UpdFreq="&amp;$A$5)+G31)/100)</f>
        <v>#NAME?</v>
      </c>
      <c r="E31" s="45" t="e">
        <f ca="1">IF(ISNUMBER(_xll.BDP(C31,$E$11,"UpdFreq="&amp;$A$5)),(_xll.BDP(C31,$E$11,"UpdFreq="&amp;$A$5)+G31)/100,(_xll.BDP(C31,"LAST PRICE","UpdFreq="&amp;$A$5)+G31)/100)</f>
        <v>#NAME?</v>
      </c>
      <c r="F31" s="45" t="e">
        <f t="shared" ca="1" si="0"/>
        <v>#NAME?</v>
      </c>
      <c r="G31" s="73"/>
      <c r="H31" s="80">
        <f>VALUE(LEFT(B31,1))</f>
        <v>3</v>
      </c>
      <c r="I31" s="46" t="s">
        <v>30</v>
      </c>
      <c r="J31" s="81" t="e">
        <f ca="1">_xll.BAddPeriods($H$4,"Per="&amp;I31,"NumberOfPeriods="&amp;H31,$J$3,$J$4)</f>
        <v>#NAME?</v>
      </c>
      <c r="L31" s="89"/>
    </row>
    <row r="32" spans="1:12">
      <c r="A32" s="308"/>
      <c r="B32" s="43" t="s">
        <v>9</v>
      </c>
      <c r="C32" s="44" t="str">
        <f>"USSO4 " &amp; $H$5 &amp; " Curncy"</f>
        <v>USSO4 CMPL Curncy</v>
      </c>
      <c r="D32" s="45" t="e">
        <f ca="1">IF(ISNUMBER(_xll.BDP(C32,$D$11,"UpdFreq="&amp;$A$5)),(_xll.BDP(C32,$D$11,"UpdFreq="&amp;$A$5)+G32)/100,(_xll.BDP(C32,"LAST PRICE","UpdFreq="&amp;$A$5)+G32)/100)</f>
        <v>#NAME?</v>
      </c>
      <c r="E32" s="45" t="e">
        <f ca="1">IF(ISNUMBER(_xll.BDP(C32,$E$11,"UpdFreq="&amp;$A$5)),(_xll.BDP(C32,$E$11,"UpdFreq="&amp;$A$5)+G32)/100,(_xll.BDP(C32,"LAST PRICE","UpdFreq="&amp;$A$5)+G32)/100)</f>
        <v>#NAME?</v>
      </c>
      <c r="F32" s="45" t="e">
        <f t="shared" ca="1" si="0"/>
        <v>#NAME?</v>
      </c>
      <c r="G32" s="73"/>
      <c r="H32" s="80">
        <f>VALUE(LEFT(B32,1))</f>
        <v>4</v>
      </c>
      <c r="I32" s="46" t="s">
        <v>30</v>
      </c>
      <c r="J32" s="81" t="e">
        <f ca="1">_xll.BAddPeriods($H$4,"Per="&amp;I32,"NumberOfPeriods="&amp;H32,$J$3,$J$4)</f>
        <v>#NAME?</v>
      </c>
      <c r="L32" s="89"/>
    </row>
    <row r="33" spans="1:12">
      <c r="A33" s="308"/>
      <c r="B33" s="43" t="s">
        <v>10</v>
      </c>
      <c r="C33" s="44" t="str">
        <f>"USSO5 " &amp; $H$5 &amp; " Curncy"</f>
        <v>USSO5 CMPL Curncy</v>
      </c>
      <c r="D33" s="45" t="e">
        <f ca="1">IF(ISNUMBER(_xll.BDP(C33,$D$11,"UpdFreq="&amp;$A$5)),(_xll.BDP(C33,$D$11,"UpdFreq="&amp;$A$5)+G33)/100,(_xll.BDP(C33,"LAST PRICE","UpdFreq="&amp;$A$5)+G33)/100)</f>
        <v>#NAME?</v>
      </c>
      <c r="E33" s="45" t="e">
        <f ca="1">IF(ISNUMBER(_xll.BDP(C33,$E$11,"UpdFreq="&amp;$A$5)),(_xll.BDP(C33,$E$11,"UpdFreq="&amp;$A$5)+G33)/100,(_xll.BDP(C33,"LAST PRICE","UpdFreq="&amp;$A$5)+G33)/100)</f>
        <v>#NAME?</v>
      </c>
      <c r="F33" s="45" t="e">
        <f t="shared" ca="1" si="0"/>
        <v>#NAME?</v>
      </c>
      <c r="G33" s="73"/>
      <c r="H33" s="80">
        <f>VALUE(LEFT(B33,1))</f>
        <v>5</v>
      </c>
      <c r="I33" s="46" t="s">
        <v>30</v>
      </c>
      <c r="J33" s="81" t="e">
        <f ca="1">_xll.BAddPeriods($H$4,"Per="&amp;I33,"NumberOfPeriods="&amp;H33,$J$3,$J$4)</f>
        <v>#NAME?</v>
      </c>
      <c r="L33" s="89"/>
    </row>
    <row r="34" spans="1:12">
      <c r="A34" s="308"/>
      <c r="B34" s="43" t="s">
        <v>12</v>
      </c>
      <c r="C34" s="44" t="str">
        <f>"USSO7 " &amp; $H$5 &amp; " Curncy"</f>
        <v>USSO7 CMPL Curncy</v>
      </c>
      <c r="D34" s="45" t="e">
        <f ca="1">IF(ISNUMBER(_xll.BDP(C34,$D$11,"UpdFreq="&amp;$A$5)),(_xll.BDP(C34,$D$11,"UpdFreq="&amp;$A$5)+G34)/100,(_xll.BDP(C34,"LAST PRICE","UpdFreq="&amp;$A$5)+G34)/100)</f>
        <v>#NAME?</v>
      </c>
      <c r="E34" s="45" t="e">
        <f ca="1">IF(ISNUMBER(_xll.BDP(C34,$E$11,"UpdFreq="&amp;$A$5)),(_xll.BDP(C34,$E$11,"UpdFreq="&amp;$A$5)+G34)/100,(_xll.BDP(C34,"LAST PRICE","UpdFreq="&amp;$A$5)+G34)/100)</f>
        <v>#NAME?</v>
      </c>
      <c r="F34" s="45" t="e">
        <f t="shared" ca="1" si="0"/>
        <v>#NAME?</v>
      </c>
      <c r="G34" s="73"/>
      <c r="H34" s="80">
        <f>VALUE(LEFT(B34,1))</f>
        <v>7</v>
      </c>
      <c r="I34" s="46" t="s">
        <v>30</v>
      </c>
      <c r="J34" s="81" t="e">
        <f ca="1">_xll.BAddPeriods($H$4,"Per="&amp;I34,"NumberOfPeriods="&amp;H34,$J$3,$J$4)</f>
        <v>#NAME?</v>
      </c>
      <c r="L34" s="89"/>
    </row>
    <row r="35" spans="1:12">
      <c r="A35" s="308"/>
      <c r="B35" s="43" t="s">
        <v>15</v>
      </c>
      <c r="C35" s="44" t="str">
        <f>"USSO10 " &amp; $H$5 &amp; " Curncy"</f>
        <v>USSO10 CMPL Curncy</v>
      </c>
      <c r="D35" s="45" t="e">
        <f ca="1">IF(ISNUMBER(_xll.BDP(C35,$D$11,"UpdFreq="&amp;$A$5)),(_xll.BDP(C35,$D$11,"UpdFreq="&amp;$A$5)+G35)/100,(_xll.BDP(C35,"LAST PRICE","UpdFreq="&amp;$A$5)+G35)/100)</f>
        <v>#NAME?</v>
      </c>
      <c r="E35" s="45" t="e">
        <f ca="1">IF(ISNUMBER(_xll.BDP(C35,$E$11,"UpdFreq="&amp;$A$5)),(_xll.BDP(C35,$E$11,"UpdFreq="&amp;$A$5)+G35)/100,(_xll.BDP(C35,"LAST PRICE","UpdFreq="&amp;$A$5)+G35)/100)</f>
        <v>#NAME?</v>
      </c>
      <c r="F35" s="45" t="e">
        <f t="shared" ca="1" si="0"/>
        <v>#NAME?</v>
      </c>
      <c r="G35" s="73"/>
      <c r="H35" s="80">
        <f t="shared" ref="H35:H40" si="2">VALUE(LEFT(B35,2))</f>
        <v>10</v>
      </c>
      <c r="I35" s="46" t="s">
        <v>30</v>
      </c>
      <c r="J35" s="81" t="e">
        <f ca="1">_xll.BAddPeriods($H$4,"Per="&amp;I35,"NumberOfPeriods="&amp;H35,$J$3,$J$4)</f>
        <v>#NAME?</v>
      </c>
      <c r="L35" s="89"/>
    </row>
    <row r="36" spans="1:12">
      <c r="A36" s="308"/>
      <c r="B36" s="43" t="s">
        <v>16</v>
      </c>
      <c r="C36" s="44" t="str">
        <f>"USSO12 " &amp; $H$5 &amp; " Curncy"</f>
        <v>USSO12 CMPL Curncy</v>
      </c>
      <c r="D36" s="45" t="e">
        <f ca="1">IF(ISNUMBER(_xll.BDP(C36,$D$11,"UpdFreq="&amp;$A$5)),(_xll.BDP(C36,$D$11,"UpdFreq="&amp;$A$5)+G36)/100,(_xll.BDP(C36,"LAST PRICE","UpdFreq="&amp;$A$5)+G36)/100)</f>
        <v>#NAME?</v>
      </c>
      <c r="E36" s="45" t="e">
        <f ca="1">IF(ISNUMBER(_xll.BDP(C36,$E$11,"UpdFreq="&amp;$A$5)),(_xll.BDP(C36,$E$11,"UpdFreq="&amp;$A$5)+G36)/100,(_xll.BDP(C36,"LAST PRICE","UpdFreq="&amp;$A$5)+G36)/100)</f>
        <v>#NAME?</v>
      </c>
      <c r="F36" s="45" t="e">
        <f t="shared" ca="1" si="0"/>
        <v>#NAME?</v>
      </c>
      <c r="G36" s="73"/>
      <c r="H36" s="80">
        <f t="shared" si="2"/>
        <v>12</v>
      </c>
      <c r="I36" s="46" t="s">
        <v>30</v>
      </c>
      <c r="J36" s="81" t="e">
        <f ca="1">_xll.BAddPeriods($H$4,"Per="&amp;I36,"NumberOfPeriods="&amp;H36,$J$3,$J$4)</f>
        <v>#NAME?</v>
      </c>
      <c r="L36" s="89"/>
    </row>
    <row r="37" spans="1:12">
      <c r="A37" s="308"/>
      <c r="B37" s="43" t="s">
        <v>17</v>
      </c>
      <c r="C37" s="44" t="str">
        <f>"USSO15 " &amp; $H$5 &amp; " Curncy"</f>
        <v>USSO15 CMPL Curncy</v>
      </c>
      <c r="D37" s="45" t="e">
        <f ca="1">IF(ISNUMBER(_xll.BDP(C37,$D$11,"UpdFreq="&amp;$A$5)),(_xll.BDP(C37,$D$11,"UpdFreq="&amp;$A$5)+G37)/100,(_xll.BDP(C37,"LAST PRICE","UpdFreq="&amp;$A$5)+G37)/100)</f>
        <v>#NAME?</v>
      </c>
      <c r="E37" s="45" t="e">
        <f ca="1">IF(ISNUMBER(_xll.BDP(C37,$E$11,"UpdFreq="&amp;$A$5)),(_xll.BDP(C37,$E$11,"UpdFreq="&amp;$A$5)+G37)/100,(_xll.BDP(C37,"LAST PRICE","UpdFreq="&amp;$A$5)+G37)/100)</f>
        <v>#NAME?</v>
      </c>
      <c r="F37" s="45" t="e">
        <f t="shared" ca="1" si="0"/>
        <v>#NAME?</v>
      </c>
      <c r="G37" s="73"/>
      <c r="H37" s="80">
        <f t="shared" si="2"/>
        <v>15</v>
      </c>
      <c r="I37" s="46" t="s">
        <v>30</v>
      </c>
      <c r="J37" s="81" t="e">
        <f ca="1">_xll.BAddPeriods($H$4,"Per="&amp;I37,"NumberOfPeriods="&amp;H37,$J$3,$J$4)</f>
        <v>#NAME?</v>
      </c>
      <c r="L37" s="89"/>
    </row>
    <row r="38" spans="1:12">
      <c r="A38" s="308"/>
      <c r="B38" s="43" t="s">
        <v>18</v>
      </c>
      <c r="C38" s="44" t="str">
        <f>"USSO20 " &amp; $H$5 &amp; " Curncy"</f>
        <v>USSO20 CMPL Curncy</v>
      </c>
      <c r="D38" s="45" t="e">
        <f ca="1">IF(ISNUMBER(_xll.BDP(C38,$D$11,"UpdFreq="&amp;$A$5)),(_xll.BDP(C38,$D$11,"UpdFreq="&amp;$A$5)+G38)/100,(_xll.BDP(C38,"LAST PRICE","UpdFreq="&amp;$A$5)+G38)/100)</f>
        <v>#NAME?</v>
      </c>
      <c r="E38" s="45" t="e">
        <f ca="1">IF(ISNUMBER(_xll.BDP(C38,$E$11,"UpdFreq="&amp;$A$5)),(_xll.BDP(C38,$E$11,"UpdFreq="&amp;$A$5)+G38)/100,(_xll.BDP(C38,"LAST PRICE","UpdFreq="&amp;$A$5)+G38)/100)</f>
        <v>#NAME?</v>
      </c>
      <c r="F38" s="45" t="e">
        <f t="shared" ca="1" si="0"/>
        <v>#NAME?</v>
      </c>
      <c r="G38" s="73"/>
      <c r="H38" s="80">
        <f t="shared" si="2"/>
        <v>20</v>
      </c>
      <c r="I38" s="46" t="s">
        <v>30</v>
      </c>
      <c r="J38" s="81" t="e">
        <f ca="1">_xll.BAddPeriods($H$4,"Per="&amp;I38,"NumberOfPeriods="&amp;H38,$J$3,$J$4)</f>
        <v>#NAME?</v>
      </c>
      <c r="L38" s="89"/>
    </row>
    <row r="39" spans="1:12">
      <c r="A39" s="308"/>
      <c r="B39" s="43" t="s">
        <v>19</v>
      </c>
      <c r="C39" s="44" t="str">
        <f>"USSO25 " &amp; $H$5 &amp; " Curncy"</f>
        <v>USSO25 CMPL Curncy</v>
      </c>
      <c r="D39" s="45" t="e">
        <f ca="1">IF(ISNUMBER(_xll.BDP(C39,$D$11,"UpdFreq="&amp;$A$5)),(_xll.BDP(C39,$D$11,"UpdFreq="&amp;$A$5)+G39)/100,(_xll.BDP(C39,"LAST PRICE","UpdFreq="&amp;$A$5)+G39)/100)</f>
        <v>#NAME?</v>
      </c>
      <c r="E39" s="45" t="e">
        <f ca="1">IF(ISNUMBER(_xll.BDP(C39,$E$11,"UpdFreq="&amp;$A$5)),(_xll.BDP(C39,$E$11,"UpdFreq="&amp;$A$5)+G39)/100,(_xll.BDP(C39,"LAST PRICE","UpdFreq="&amp;$A$5)+G39)/100)</f>
        <v>#NAME?</v>
      </c>
      <c r="F39" s="45" t="e">
        <f t="shared" ca="1" si="0"/>
        <v>#NAME?</v>
      </c>
      <c r="G39" s="73"/>
      <c r="H39" s="80">
        <f t="shared" si="2"/>
        <v>25</v>
      </c>
      <c r="I39" s="46" t="s">
        <v>30</v>
      </c>
      <c r="J39" s="81" t="e">
        <f ca="1">_xll.BAddPeriods($H$4,"Per="&amp;I39,"NumberOfPeriods="&amp;H39,$J$3,$J$4)</f>
        <v>#NAME?</v>
      </c>
      <c r="L39" s="89"/>
    </row>
    <row r="40" spans="1:12">
      <c r="A40" s="308"/>
      <c r="B40" s="43" t="s">
        <v>20</v>
      </c>
      <c r="C40" s="44" t="str">
        <f>"USSO30 " &amp; $H$5 &amp; " Curncy"</f>
        <v>USSO30 CMPL Curncy</v>
      </c>
      <c r="D40" s="45" t="e">
        <f ca="1">IF(ISNUMBER(_xll.BDP(C40,$D$11,"UpdFreq="&amp;$A$5)),(_xll.BDP(C40,$D$11,"UpdFreq="&amp;$A$5)+G40)/100,(_xll.BDP(C40,"LAST PRICE","UpdFreq="&amp;$A$5)+G40)/100)</f>
        <v>#NAME?</v>
      </c>
      <c r="E40" s="45" t="e">
        <f ca="1">IF(ISNUMBER(_xll.BDP(C40,$E$11,"UpdFreq="&amp;$A$5)),(_xll.BDP(C40,$E$11,"UpdFreq="&amp;$A$5)+G40)/100,(_xll.BDP(C40,"LAST PRICE","UpdFreq="&amp;$A$5)+G40)/100)</f>
        <v>#NAME?</v>
      </c>
      <c r="F40" s="226" t="e">
        <f t="shared" ca="1" si="0"/>
        <v>#NAME?</v>
      </c>
      <c r="G40" s="73"/>
      <c r="H40" s="80">
        <f t="shared" si="2"/>
        <v>30</v>
      </c>
      <c r="I40" s="46" t="s">
        <v>30</v>
      </c>
      <c r="J40" s="81" t="e">
        <f ca="1">_xll.BAddPeriods($H$4,"Per="&amp;I40,"NumberOfPeriods="&amp;H40,$J$3,$J$4)</f>
        <v>#NAME?</v>
      </c>
      <c r="K40" t="s">
        <v>125</v>
      </c>
      <c r="L40" s="89"/>
    </row>
    <row r="41" spans="1:12">
      <c r="A41" s="285"/>
      <c r="B41" s="43"/>
      <c r="C41" s="44"/>
      <c r="D41" s="45"/>
      <c r="E41" s="45"/>
      <c r="F41" s="45"/>
      <c r="G41" s="78"/>
      <c r="H41" s="80"/>
      <c r="I41" s="46"/>
      <c r="J41" s="81"/>
      <c r="K41" t="s">
        <v>11</v>
      </c>
      <c r="L41" s="89"/>
    </row>
    <row r="42" spans="1:12">
      <c r="A42" s="285"/>
      <c r="B42" s="43"/>
      <c r="C42" s="44"/>
      <c r="D42" s="45"/>
      <c r="E42" s="45"/>
      <c r="F42" s="45"/>
      <c r="G42" s="73"/>
      <c r="H42" s="80"/>
      <c r="I42" s="46"/>
      <c r="J42" s="81"/>
      <c r="K42" t="s">
        <v>13</v>
      </c>
      <c r="L42" s="89"/>
    </row>
    <row r="43" spans="1:12">
      <c r="A43" s="285"/>
      <c r="B43" s="43"/>
      <c r="C43" s="44"/>
      <c r="D43" s="45"/>
      <c r="E43" s="45"/>
      <c r="F43" s="45"/>
      <c r="G43" s="73"/>
      <c r="H43" s="80"/>
      <c r="I43" s="46"/>
      <c r="J43" s="81"/>
      <c r="K43" t="s">
        <v>14</v>
      </c>
      <c r="L43" s="89"/>
    </row>
    <row r="44" spans="1:12">
      <c r="A44" s="285"/>
      <c r="B44" s="47"/>
      <c r="C44" s="48"/>
      <c r="D44" s="49"/>
      <c r="E44" s="49"/>
      <c r="F44" s="101"/>
      <c r="G44" s="78"/>
      <c r="H44" s="82"/>
      <c r="I44" s="50"/>
      <c r="J44" s="84"/>
      <c r="K44" t="s">
        <v>96</v>
      </c>
      <c r="L44" s="89"/>
    </row>
    <row r="45" spans="1:12">
      <c r="L45" s="88"/>
    </row>
    <row r="46" spans="1:12">
      <c r="L46" s="88"/>
    </row>
    <row r="47" spans="1:12">
      <c r="L47" s="88"/>
    </row>
    <row r="48" spans="1:12">
      <c r="L48" s="88"/>
    </row>
  </sheetData>
  <mergeCells count="4">
    <mergeCell ref="B3:C3"/>
    <mergeCell ref="B4:C4"/>
    <mergeCell ref="B5:C5"/>
    <mergeCell ref="A12:A44"/>
  </mergeCells>
  <phoneticPr fontId="2" type="noConversion"/>
  <dataValidations count="3">
    <dataValidation type="list" allowBlank="1" showInputMessage="1" showErrorMessage="1" sqref="D5">
      <formula1>$AF$3:$AF$6</formula1>
    </dataValidation>
    <dataValidation type="list" allowBlank="1" showInputMessage="1" showErrorMessage="1" sqref="D3">
      <formula1>$R$2:$R$3</formula1>
    </dataValidation>
    <dataValidation type="list" allowBlank="1" showInputMessage="1" showErrorMessage="1" sqref="D4">
      <formula1>Contributori_EONIA</formula1>
    </dataValidation>
  </dataValidations>
  <pageMargins left="0.75" right="0.75" top="1" bottom="1" header="0.5" footer="0.5"/>
  <pageSetup paperSize="9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Foglio5" enableFormatConditionsCalculation="0">
    <tabColor indexed="48"/>
    <pageSetUpPr autoPageBreaks="0"/>
  </sheetPr>
  <dimension ref="A1:AF56"/>
  <sheetViews>
    <sheetView showGridLines="0" zoomScale="80" workbookViewId="0">
      <pane ySplit="8" topLeftCell="A9" activePane="bottomLeft" state="frozenSplit"/>
      <selection activeCell="D7" sqref="D7"/>
      <selection pane="bottomLeft" activeCell="A12" sqref="A12:A17"/>
    </sheetView>
  </sheetViews>
  <sheetFormatPr defaultColWidth="0" defaultRowHeight="12.75"/>
  <cols>
    <col min="1" max="1" width="8" customWidth="1"/>
    <col min="2" max="2" width="9.7109375" customWidth="1"/>
    <col min="3" max="3" width="19.7109375" customWidth="1"/>
    <col min="4" max="6" width="11.7109375" customWidth="1"/>
    <col min="7" max="7" width="12.7109375" customWidth="1"/>
    <col min="8" max="9" width="13.28515625" style="1" customWidth="1"/>
    <col min="10" max="11" width="14.7109375" customWidth="1"/>
    <col min="12" max="12" width="14.7109375" style="3" customWidth="1"/>
    <col min="13" max="13" width="14.28515625" customWidth="1"/>
    <col min="14" max="14" width="11.28515625" customWidth="1"/>
    <col min="15" max="15" width="3.42578125" customWidth="1"/>
    <col min="16" max="16" width="8.5703125" customWidth="1"/>
    <col min="18" max="18" width="8" bestFit="1" customWidth="1"/>
    <col min="19" max="19" width="8.5703125" customWidth="1"/>
    <col min="20" max="20" width="12.28515625" customWidth="1"/>
    <col min="21" max="21" width="3" customWidth="1"/>
    <col min="22" max="22" width="5.5703125" customWidth="1"/>
    <col min="23" max="23" width="7.7109375" customWidth="1"/>
    <col min="24" max="24" width="6.5703125" customWidth="1"/>
    <col min="25" max="25" width="9.5703125" customWidth="1"/>
    <col min="26" max="26" width="10.28515625" customWidth="1"/>
    <col min="27" max="27" width="10.7109375" customWidth="1"/>
    <col min="29" max="29" width="13.85546875" customWidth="1"/>
    <col min="31" max="31" width="4.85546875" customWidth="1"/>
    <col min="32" max="32" width="7.28515625" customWidth="1"/>
  </cols>
  <sheetData>
    <row r="1" spans="1:32" ht="43.5" customHeight="1">
      <c r="B1" s="5"/>
      <c r="C1" s="5"/>
      <c r="D1" s="5"/>
      <c r="E1" s="5"/>
      <c r="M1" s="18" t="s">
        <v>61</v>
      </c>
      <c r="P1" s="6" t="s">
        <v>36</v>
      </c>
      <c r="R1" s="6"/>
      <c r="S1" s="4" t="s">
        <v>39</v>
      </c>
      <c r="T1" s="4" t="s">
        <v>40</v>
      </c>
      <c r="U1" s="4" t="s">
        <v>42</v>
      </c>
      <c r="V1" s="4" t="s">
        <v>6</v>
      </c>
      <c r="W1" s="4" t="s">
        <v>43</v>
      </c>
      <c r="X1" s="4" t="s">
        <v>5</v>
      </c>
      <c r="Y1" s="4" t="s">
        <v>53</v>
      </c>
      <c r="Z1" s="4" t="s">
        <v>52</v>
      </c>
      <c r="AA1" s="4" t="s">
        <v>54</v>
      </c>
      <c r="AC1" s="6" t="s">
        <v>64</v>
      </c>
      <c r="AE1" s="6" t="s">
        <v>63</v>
      </c>
      <c r="AF1" s="6" t="s">
        <v>73</v>
      </c>
    </row>
    <row r="2" spans="1:32" ht="13.5" customHeight="1">
      <c r="A2" s="5"/>
      <c r="B2" s="51"/>
      <c r="C2" s="51"/>
      <c r="G2" s="17" t="s">
        <v>59</v>
      </c>
      <c r="H2" s="2"/>
      <c r="I2" s="2"/>
      <c r="J2" s="3"/>
      <c r="M2" s="18" t="s">
        <v>62</v>
      </c>
      <c r="N2" s="9" t="s">
        <v>68</v>
      </c>
      <c r="O2" s="6">
        <v>1</v>
      </c>
      <c r="P2" s="6" t="s">
        <v>34</v>
      </c>
      <c r="R2" s="6" t="s">
        <v>77</v>
      </c>
      <c r="S2" s="4" t="s">
        <v>78</v>
      </c>
      <c r="T2" s="4" t="s">
        <v>79</v>
      </c>
      <c r="U2" s="4">
        <v>2</v>
      </c>
      <c r="V2" s="4" t="s">
        <v>34</v>
      </c>
      <c r="W2" s="4" t="s">
        <v>34</v>
      </c>
      <c r="X2" s="4" t="s">
        <v>37</v>
      </c>
      <c r="Y2" s="4" t="s">
        <v>78</v>
      </c>
      <c r="AC2" s="6"/>
      <c r="AE2" s="6"/>
    </row>
    <row r="3" spans="1:32">
      <c r="A3" s="5"/>
      <c r="B3" s="87"/>
      <c r="C3" s="99"/>
      <c r="D3" s="74" t="s">
        <v>38</v>
      </c>
      <c r="G3" s="13" t="s">
        <v>31</v>
      </c>
      <c r="H3" s="16" t="e">
        <f ca="1">[1]!blptoday()</f>
        <v>#NAME?</v>
      </c>
      <c r="I3" s="13" t="s">
        <v>25</v>
      </c>
      <c r="J3" s="85" t="e">
        <f ca="1">"CDR="&amp;J6</f>
        <v>#NAME?</v>
      </c>
      <c r="N3" s="9" t="s">
        <v>69</v>
      </c>
      <c r="O3" s="6">
        <v>2</v>
      </c>
      <c r="P3" s="6" t="s">
        <v>2</v>
      </c>
      <c r="R3" s="6" t="s">
        <v>38</v>
      </c>
      <c r="S3" s="4" t="s">
        <v>4</v>
      </c>
      <c r="T3" s="4" t="s">
        <v>41</v>
      </c>
      <c r="U3" s="4">
        <v>2</v>
      </c>
      <c r="V3" s="4" t="s">
        <v>34</v>
      </c>
      <c r="W3" s="4" t="s">
        <v>34</v>
      </c>
      <c r="X3" s="7" t="s">
        <v>37</v>
      </c>
      <c r="Y3" s="4" t="s">
        <v>4</v>
      </c>
      <c r="AC3" s="6" t="s">
        <v>45</v>
      </c>
      <c r="AE3" s="6" t="s">
        <v>56</v>
      </c>
      <c r="AF3" s="6">
        <v>1</v>
      </c>
    </row>
    <row r="4" spans="1:32">
      <c r="B4" s="282" t="s">
        <v>124</v>
      </c>
      <c r="C4" s="292"/>
      <c r="D4" s="74" t="s">
        <v>65</v>
      </c>
      <c r="G4" s="14" t="str">
        <f>"T+"&amp;INDEX($U$2:$U$3,MATCH($D$3,$R$2:$R$3,FALSE))</f>
        <v>T+2</v>
      </c>
      <c r="H4" s="75" t="e">
        <f ca="1">_xll.BAddPeriods($H$3,"Per=wd","NumberOfPeriods="&amp;RIGHT(G4,1),$J$3)</f>
        <v>#NAME?</v>
      </c>
      <c r="I4" s="14" t="s">
        <v>1</v>
      </c>
      <c r="J4" s="68" t="s">
        <v>33</v>
      </c>
      <c r="N4" s="9" t="s">
        <v>55</v>
      </c>
      <c r="O4" s="6">
        <v>4</v>
      </c>
      <c r="P4" s="8" t="s">
        <v>37</v>
      </c>
      <c r="R4" s="76" t="e">
        <f>RTD("bloomberg.ccyreader", "", "#track", "DBG", "XCLR", "1.1", 1)</f>
        <v>#N/A</v>
      </c>
      <c r="AC4" s="6" t="s">
        <v>65</v>
      </c>
      <c r="AE4" s="6" t="s">
        <v>35</v>
      </c>
      <c r="AF4" s="6">
        <v>5</v>
      </c>
    </row>
    <row r="5" spans="1:32">
      <c r="B5" s="282" t="s">
        <v>169</v>
      </c>
      <c r="C5" s="292"/>
      <c r="D5" s="74" t="s">
        <v>204</v>
      </c>
      <c r="G5" s="14" t="s">
        <v>44</v>
      </c>
      <c r="H5" s="68" t="str">
        <f>D4&amp;"/"&amp;D5</f>
        <v>CMPL/BXSU</v>
      </c>
      <c r="I5" s="14" t="s">
        <v>46</v>
      </c>
      <c r="J5" s="69" t="e">
        <f ca="1">_xll.BDP(D3&amp;" Curncy","BB_CRNCY_CODE")</f>
        <v>#NAME?</v>
      </c>
      <c r="N5" s="9" t="s">
        <v>70</v>
      </c>
      <c r="O5" s="6">
        <v>12</v>
      </c>
      <c r="AC5" s="6" t="s">
        <v>66</v>
      </c>
      <c r="AE5" s="6" t="s">
        <v>57</v>
      </c>
      <c r="AF5" s="6">
        <v>10</v>
      </c>
    </row>
    <row r="6" spans="1:32">
      <c r="A6" s="98">
        <f>D6*1000</f>
        <v>5000</v>
      </c>
      <c r="B6" s="280" t="s">
        <v>71</v>
      </c>
      <c r="C6" s="281"/>
      <c r="D6" s="74">
        <v>5</v>
      </c>
      <c r="E6" t="s">
        <v>72</v>
      </c>
      <c r="G6" s="70" t="s">
        <v>43</v>
      </c>
      <c r="H6" s="72" t="str">
        <f>INDEX($T$2:$T$3,MATCH($D$3,$R$2:$R$3,FALSE))</f>
        <v>ED</v>
      </c>
      <c r="I6" s="70" t="s">
        <v>76</v>
      </c>
      <c r="J6" s="72" t="e">
        <f ca="1">_xll.BDP(D3&amp;" Curncy","CALENDAR_CODE")</f>
        <v>#NAME?</v>
      </c>
      <c r="AC6" s="6" t="s">
        <v>102</v>
      </c>
      <c r="AF6" s="6">
        <v>60</v>
      </c>
    </row>
    <row r="7" spans="1:32" ht="13.5" customHeight="1">
      <c r="A7" s="3"/>
      <c r="B7" s="3"/>
      <c r="C7" s="3"/>
      <c r="D7" s="3"/>
      <c r="E7" s="3"/>
      <c r="F7" s="5"/>
      <c r="AC7" s="6" t="s">
        <v>204</v>
      </c>
    </row>
    <row r="8" spans="1:32" ht="13.5" customHeight="1">
      <c r="A8" s="60"/>
      <c r="B8" s="58"/>
      <c r="C8" s="59"/>
      <c r="D8" s="59"/>
      <c r="E8" s="59"/>
      <c r="F8" s="5"/>
      <c r="AC8" s="6" t="s">
        <v>67</v>
      </c>
    </row>
    <row r="9" spans="1:32" ht="13.5" customHeight="1">
      <c r="AC9" s="6"/>
    </row>
    <row r="10" spans="1:32" ht="13.5" customHeight="1">
      <c r="A10" s="54" t="s">
        <v>75</v>
      </c>
      <c r="B10" s="54"/>
      <c r="C10" s="55"/>
      <c r="D10" s="55"/>
      <c r="E10" s="55"/>
      <c r="F10" s="55"/>
      <c r="G10" s="55"/>
      <c r="H10" s="56"/>
      <c r="I10" s="56"/>
      <c r="J10" s="55"/>
      <c r="K10" s="55"/>
      <c r="L10" s="90"/>
    </row>
    <row r="11" spans="1:32">
      <c r="A11" s="10"/>
      <c r="B11" s="11"/>
      <c r="C11" s="11"/>
      <c r="D11" s="11" t="s">
        <v>57</v>
      </c>
      <c r="E11" s="11" t="s">
        <v>56</v>
      </c>
      <c r="F11" s="11" t="s">
        <v>35</v>
      </c>
      <c r="G11" s="12" t="s">
        <v>58</v>
      </c>
      <c r="H11" s="11" t="s">
        <v>60</v>
      </c>
      <c r="I11" s="11" t="s">
        <v>26</v>
      </c>
      <c r="J11" s="11" t="s">
        <v>32</v>
      </c>
      <c r="K11" s="12" t="s">
        <v>74</v>
      </c>
      <c r="L11" s="91"/>
    </row>
    <row r="12" spans="1:32">
      <c r="A12" s="293" t="s">
        <v>6</v>
      </c>
      <c r="B12" s="19" t="s">
        <v>51</v>
      </c>
      <c r="C12" s="20" t="e">
        <f ca="1">$J$5&amp;"DR1T " &amp;  $D$4 &amp;" Index"</f>
        <v>#NAME?</v>
      </c>
      <c r="D12" s="21" t="e">
        <f ca="1">IF(ISNUMBER(_xll.BDP(C12,$D$11,"UpdFreq="&amp;$A$5)),(_xll.BDP(C12,$D$11,"UpdFreq="&amp;$A$5)+G12)/100,(_xll.BDP(C12,"LAST PRICE","UpdFreq="&amp;$A$5)+G12)/100)</f>
        <v>#NAME?</v>
      </c>
      <c r="E12" s="21" t="e">
        <f ca="1">IF(ISNUMBER(_xll.BDP(C12,$E$11,"UpdFreq="&amp;$A$5)),(_xll.BDP(C12,$E$11,"UpdFreq="&amp;$A$5)+G12)/100,(_xll.BDP(C12,"LAST PRICE","UpdFreq="&amp;$A$5)+G12)/100)</f>
        <v>#NAME?</v>
      </c>
      <c r="F12" s="21" t="e">
        <f t="shared" ref="F12:F17" ca="1" si="0">AVERAGE(D12,E12)</f>
        <v>#NAME?</v>
      </c>
      <c r="G12" s="100"/>
      <c r="H12" s="22">
        <f t="shared" ref="H12:H20" si="1">VALUE(LEFT(B12,1))</f>
        <v>1</v>
      </c>
      <c r="I12" s="22" t="s">
        <v>27</v>
      </c>
      <c r="J12" s="62" t="e">
        <f ca="1">$H$3</f>
        <v>#NAME?</v>
      </c>
      <c r="K12" s="95" t="e">
        <f ca="1">_xll.BAddPeriods($J12,"Per="&amp;I12,"NumberOfPeriods="&amp;H12,$J$3,$J$4)</f>
        <v>#NAME?</v>
      </c>
      <c r="L12" s="92"/>
    </row>
    <row r="13" spans="1:32">
      <c r="A13" s="293"/>
      <c r="B13" s="23" t="s">
        <v>97</v>
      </c>
      <c r="C13" s="24" t="e">
        <f ca="1">$J$5&amp;"DR3T " &amp;  $D$4 &amp;" Index"</f>
        <v>#NAME?</v>
      </c>
      <c r="D13" s="25" t="e">
        <f ca="1">IF(ISNUMBER(_xll.BDP(C13,$D$11,"UpdFreq="&amp;$A$5)),(_xll.BDP(C13,$D$11,"UpdFreq="&amp;$A$5)+G13)/100,(_xll.BDP(C13,"LAST PRICE","UpdFreq="&amp;$A$5)+G13)/100)</f>
        <v>#NAME?</v>
      </c>
      <c r="E13" s="25" t="e">
        <f ca="1">IF(ISNUMBER(_xll.BDP(C13,$E$11,"UpdFreq="&amp;$A$5)),(_xll.BDP(C13,$E$11,"UpdFreq="&amp;$A$5)+G13)/100,(_xll.BDP(C13,"LAST PRICE","UpdFreq="&amp;$A$5)+G13)/100)</f>
        <v>#NAME?</v>
      </c>
      <c r="F13" s="25" t="e">
        <f t="shared" ca="1" si="0"/>
        <v>#NAME?</v>
      </c>
      <c r="G13" s="78"/>
      <c r="H13" s="26">
        <f t="shared" si="1"/>
        <v>1</v>
      </c>
      <c r="I13" s="26" t="s">
        <v>27</v>
      </c>
      <c r="J13" s="63" t="e">
        <f ca="1">$H$4</f>
        <v>#NAME?</v>
      </c>
      <c r="K13" s="96" t="e">
        <f ca="1">_xll.BAddPeriods($J13,"Per="&amp;I13,"NumberOfPeriods="&amp;H13,$J$3,$J$4)</f>
        <v>#NAME?</v>
      </c>
      <c r="L13" s="92"/>
    </row>
    <row r="14" spans="1:32" ht="12.75" customHeight="1">
      <c r="A14" s="293"/>
      <c r="B14" s="23" t="s">
        <v>47</v>
      </c>
      <c r="C14" s="24" t="s">
        <v>170</v>
      </c>
      <c r="D14" s="25" t="e">
        <f ca="1">IF(ISNUMBER(_xll.BDP(C14,$D$11,"UpdFreq="&amp;$A$5)),(_xll.BDP(C14,$D$11,"UpdFreq="&amp;$A$5)+G14)/100,(_xll.BDP(C14,"LAST PRICE","UpdFreq="&amp;$A$5)+G14)/100)</f>
        <v>#NAME?</v>
      </c>
      <c r="E14" s="25" t="e">
        <f ca="1">IF(ISNUMBER(_xll.BDP(C14,$E$11,"UpdFreq="&amp;$A$5)),(_xll.BDP(C14,$E$11,"UpdFreq="&amp;$A$5)+G14)/100,(_xll.BDP(C14,"LAST PRICE","UpdFreq="&amp;$A$5)+G14)/100)</f>
        <v>#NAME?</v>
      </c>
      <c r="F14" s="25" t="e">
        <f t="shared" ca="1" si="0"/>
        <v>#NAME?</v>
      </c>
      <c r="G14" s="73"/>
      <c r="H14" s="26">
        <f t="shared" si="1"/>
        <v>1</v>
      </c>
      <c r="I14" s="26" t="s">
        <v>28</v>
      </c>
      <c r="J14" s="63" t="e">
        <f ca="1">$H$4</f>
        <v>#NAME?</v>
      </c>
      <c r="K14" s="96" t="e">
        <f ca="1">_xll.BAddPeriods($J14,"Per="&amp;I14,"NumberOfPeriods="&amp;H14,$J$3,$J$4)</f>
        <v>#NAME?</v>
      </c>
      <c r="L14" s="92"/>
    </row>
    <row r="15" spans="1:32">
      <c r="A15" s="293"/>
      <c r="B15" s="23" t="s">
        <v>48</v>
      </c>
      <c r="C15" s="24" t="s">
        <v>171</v>
      </c>
      <c r="D15" s="25" t="e">
        <f ca="1">IF(ISNUMBER(_xll.BDP(C15,$D$11,"UpdFreq="&amp;$A$5)),(_xll.BDP(C15,$D$11,"UpdFreq="&amp;$A$5)+G15)/100,(_xll.BDP(C15,"LAST PRICE","UpdFreq="&amp;$A$5)+G15)/100)</f>
        <v>#NAME?</v>
      </c>
      <c r="E15" s="25" t="e">
        <f ca="1">IF(ISNUMBER(_xll.BDP(C15,$E$11,"UpdFreq="&amp;$A$5)),(_xll.BDP(C15,$E$11,"UpdFreq="&amp;$A$5)+G15)/100,(_xll.BDP(C15,"LAST PRICE","UpdFreq="&amp;$A$5)+G15)/100)</f>
        <v>#NAME?</v>
      </c>
      <c r="F15" s="25" t="e">
        <f t="shared" ca="1" si="0"/>
        <v>#NAME?</v>
      </c>
      <c r="G15" s="73"/>
      <c r="H15" s="26">
        <f t="shared" si="1"/>
        <v>1</v>
      </c>
      <c r="I15" s="26" t="s">
        <v>29</v>
      </c>
      <c r="J15" s="63" t="e">
        <f ca="1">$H$4</f>
        <v>#NAME?</v>
      </c>
      <c r="K15" s="96" t="e">
        <f ca="1">_xll.BAddPeriods($J15,"Per="&amp;I15,"NumberOfPeriods="&amp;H15,$J$3,$J$4)</f>
        <v>#NAME?</v>
      </c>
      <c r="L15" s="92"/>
    </row>
    <row r="16" spans="1:32">
      <c r="A16" s="293"/>
      <c r="B16" s="23" t="s">
        <v>49</v>
      </c>
      <c r="C16" s="24" t="s">
        <v>172</v>
      </c>
      <c r="D16" s="25" t="e">
        <f ca="1">IF(ISNUMBER(_xll.BDP(C16,$D$11,"UpdFreq="&amp;$A$5)),(_xll.BDP(C16,$D$11,"UpdFreq="&amp;$A$5)+G16)/100,(_xll.BDP(C16,"LAST PRICE","UpdFreq="&amp;$A$5)+G16)/100)</f>
        <v>#NAME?</v>
      </c>
      <c r="E16" s="25" t="e">
        <f ca="1">IF(ISNUMBER(_xll.BDP(C16,$E$11,"UpdFreq="&amp;$A$5)),(_xll.BDP(C16,$E$11,"UpdFreq="&amp;$A$5)+G16)/100,(_xll.BDP(C16,"LAST PRICE","UpdFreq="&amp;$A$5)+G16)/100)</f>
        <v>#NAME?</v>
      </c>
      <c r="F16" s="25" t="e">
        <f t="shared" ca="1" si="0"/>
        <v>#NAME?</v>
      </c>
      <c r="G16" s="73"/>
      <c r="H16" s="26">
        <f t="shared" si="1"/>
        <v>2</v>
      </c>
      <c r="I16" s="26" t="s">
        <v>29</v>
      </c>
      <c r="J16" s="63" t="e">
        <f ca="1">$H$4</f>
        <v>#NAME?</v>
      </c>
      <c r="K16" s="96" t="e">
        <f ca="1">_xll.BAddPeriods($J16,"Per="&amp;I16,"NumberOfPeriods="&amp;H16,$J$3,$J$4)</f>
        <v>#NAME?</v>
      </c>
      <c r="L16" s="92"/>
    </row>
    <row r="17" spans="1:12">
      <c r="A17" s="293"/>
      <c r="B17" s="27" t="s">
        <v>50</v>
      </c>
      <c r="C17" s="28" t="s">
        <v>126</v>
      </c>
      <c r="D17" s="29" t="e">
        <f ca="1">IF(ISNUMBER(_xll.BDP(C17,$D$11,"UpdFreq="&amp;$A$5)),(_xll.BDP(C17,$D$11,"UpdFreq="&amp;$A$5)+G17)/100,(_xll.BDP(C17,"LAST PRICE","UpdFreq="&amp;$A$5)+G17)/100)</f>
        <v>#NAME?</v>
      </c>
      <c r="E17" s="29" t="e">
        <f ca="1">IF(ISNUMBER(_xll.BDP(C17,$E$11,"UpdFreq="&amp;$A$5)),(_xll.BDP(C17,$E$11,"UpdFreq="&amp;$A$5)+G17)/100,(_xll.BDP(C17,"LAST PRICE","UpdFreq="&amp;$A$5)+G17)/100)</f>
        <v>#NAME?</v>
      </c>
      <c r="F17" s="29" t="e">
        <f t="shared" ca="1" si="0"/>
        <v>#NAME?</v>
      </c>
      <c r="G17" s="73"/>
      <c r="H17" s="30">
        <f t="shared" si="1"/>
        <v>3</v>
      </c>
      <c r="I17" s="30" t="s">
        <v>29</v>
      </c>
      <c r="J17" s="64" t="e">
        <f ca="1">$H$4</f>
        <v>#NAME?</v>
      </c>
      <c r="K17" s="97" t="e">
        <f ca="1">_xll.BAddPeriods($J17,"Per="&amp;I17,"NumberOfPeriods="&amp;H17,$J$3,$J$4)</f>
        <v>#NAME?</v>
      </c>
      <c r="L17" s="92"/>
    </row>
    <row r="18" spans="1:12">
      <c r="A18" s="294" t="s">
        <v>99</v>
      </c>
      <c r="B18" s="108" t="s">
        <v>98</v>
      </c>
      <c r="C18" s="108" t="e">
        <f ca="1">$J$5&amp;"FR0AD "&amp;  $D$4 &amp;" Index"</f>
        <v>#NAME?</v>
      </c>
      <c r="D18" s="109" t="e">
        <f ca="1">IF(ISNUMBER(_xll.BDP($C18,D$11,"UpdFreq="&amp;$A$5)),(_xll.BDP($C18,D$11,"UpdFreq="&amp;$A$5)+$G18)/100,(_xll.BDP($C18,"LAST PRICE","UpdFreq="&amp;$A$5)+$G18)/100)</f>
        <v>#NAME?</v>
      </c>
      <c r="E18" s="109" t="e">
        <f ca="1">IF(ISNUMBER(_xll.BDP($C18,E$11,"UpdFreq="&amp;$A$5)),(_xll.BDP($C18,E$11,"UpdFreq="&amp;$A$5)+$G18)/100,(_xll.BDP($C18,"LAST PRICE","UpdFreq="&amp;$A$5)+$G18)/100)</f>
        <v>#NAME?</v>
      </c>
      <c r="F18" s="109" t="e">
        <f ca="1">IF(ISNUMBER(_xll.BDP($C18,F$11,"UpdFreq="&amp;$A$5)),(_xll.BDP($C18,F$11,"UpdFreq="&amp;$A$5)+$G18)/100,(_xll.BDP($C18,"LAST PRICE","UpdFreq="&amp;$A$5)+$G18)/100)</f>
        <v>#NAME?</v>
      </c>
      <c r="G18" s="93"/>
      <c r="H18" s="104">
        <f t="shared" si="1"/>
        <v>1</v>
      </c>
      <c r="I18" s="104" t="s">
        <v>29</v>
      </c>
      <c r="J18" s="110" t="e">
        <f ca="1">_xll.BAddPeriods($H$4,"Per="&amp;I18,"NumberOfPeriods="&amp;H18,$J$3,$J$4)</f>
        <v>#NAME?</v>
      </c>
      <c r="K18" s="105" t="e">
        <f ca="1">_xll.BAddPeriods($J18,"Per="&amp;I18,"NumberOfPeriods="&amp;3,$J$3,$J$4)</f>
        <v>#NAME?</v>
      </c>
      <c r="L18" s="77"/>
    </row>
    <row r="19" spans="1:12">
      <c r="A19" s="294"/>
      <c r="B19" s="111" t="s">
        <v>100</v>
      </c>
      <c r="C19" s="111" t="e">
        <f ca="1">$J$5&amp;"FR0BE "&amp;  $D$4 &amp;" Index"</f>
        <v>#NAME?</v>
      </c>
      <c r="D19" s="112" t="e">
        <f ca="1">IF(ISNUMBER(_xll.BDP($C19,D$11,"UpdFreq="&amp;$A$5)),(_xll.BDP($C19,D$11,"UpdFreq="&amp;$A$5)+$G19)/100,(_xll.BDP($C19,"LAST PRICE","UpdFreq="&amp;$A$5)+$G19)/100)</f>
        <v>#NAME?</v>
      </c>
      <c r="E19" s="112" t="e">
        <f ca="1">IF(ISNUMBER(_xll.BDP($C19,E$11,"UpdFreq="&amp;$A$5)),(_xll.BDP($C19,E$11,"UpdFreq="&amp;$A$5)+$G19)/100,(_xll.BDP($C19,"LAST PRICE","UpdFreq="&amp;$A$5)+$G19)/100)</f>
        <v>#NAME?</v>
      </c>
      <c r="F19" s="112" t="e">
        <f ca="1">IF(ISNUMBER(_xll.BDP($C19,F$11,"UpdFreq="&amp;$A$5)),(_xll.BDP($C19,F$11,"UpdFreq="&amp;$A$5)+$G19)/100,(_xll.BDP($C19,"LAST PRICE","UpdFreq="&amp;$A$5)+$G19)/100)</f>
        <v>#NAME?</v>
      </c>
      <c r="G19" s="93"/>
      <c r="H19" s="102">
        <f t="shared" si="1"/>
        <v>2</v>
      </c>
      <c r="I19" s="102" t="s">
        <v>29</v>
      </c>
      <c r="J19" s="113" t="e">
        <f ca="1">_xll.BAddPeriods($H$4,"Per="&amp;I19,"NumberOfPeriods="&amp;H19,$J$3,$J$4)</f>
        <v>#NAME?</v>
      </c>
      <c r="K19" s="103" t="e">
        <f ca="1">_xll.BAddPeriods($J19,"Per="&amp;I19,"NumberOfPeriods="&amp;3,$J$3,$J$4)</f>
        <v>#NAME?</v>
      </c>
      <c r="L19" s="77"/>
    </row>
    <row r="20" spans="1:12">
      <c r="A20" s="295"/>
      <c r="B20" s="114" t="s">
        <v>101</v>
      </c>
      <c r="C20" s="114" t="e">
        <f ca="1">$J$5&amp;"FR0CF "&amp;  $D$4 &amp;" Index"</f>
        <v>#NAME?</v>
      </c>
      <c r="D20" s="115" t="e">
        <f ca="1">IF(ISNUMBER(_xll.BDP($C20,D$11,"UpdFreq="&amp;$A$5)),(_xll.BDP($C20,D$11,"UpdFreq="&amp;$A$5)+$G20)/100,(_xll.BDP($C20,"LAST PRICE","UpdFreq="&amp;$A$5)+$G20)/100)</f>
        <v>#NAME?</v>
      </c>
      <c r="E20" s="115" t="e">
        <f ca="1">IF(ISNUMBER(_xll.BDP($C20,E$11,"UpdFreq="&amp;$A$5)),(_xll.BDP($C20,E$11,"UpdFreq="&amp;$A$5)+$G20)/100,(_xll.BDP($C20,"LAST PRICE","UpdFreq="&amp;$A$5)+$G20)/100)</f>
        <v>#NAME?</v>
      </c>
      <c r="F20" s="115" t="e">
        <f ca="1">IF(ISNUMBER(_xll.BDP($C20,F$11,"UpdFreq="&amp;$A$5)),(_xll.BDP($C20,F$11,"UpdFreq="&amp;$A$5)+$G20)/100,(_xll.BDP($C20,"LAST PRICE","UpdFreq="&amp;$A$5)+$G20)/100)</f>
        <v>#NAME?</v>
      </c>
      <c r="G20" s="93"/>
      <c r="H20" s="106">
        <f t="shared" si="1"/>
        <v>3</v>
      </c>
      <c r="I20" s="106" t="s">
        <v>29</v>
      </c>
      <c r="J20" s="116" t="e">
        <f ca="1">_xll.BAddPeriods($H$4,"Per="&amp;I20,"NumberOfPeriods="&amp;H20,$J$3,$J$4)</f>
        <v>#NAME?</v>
      </c>
      <c r="K20" s="107" t="e">
        <f ca="1">_xll.BAddPeriods($J20,"Per="&amp;I20,"NumberOfPeriods="&amp;3,$J$3,$J$4)</f>
        <v>#NAME?</v>
      </c>
      <c r="L20" s="77"/>
    </row>
    <row r="21" spans="1:12">
      <c r="A21" s="289" t="s">
        <v>0</v>
      </c>
      <c r="B21" s="31" t="s">
        <v>188</v>
      </c>
      <c r="C21" s="31" t="str">
        <f t="shared" ref="C21:C28" si="2">futures_code &amp; B21 &amp;" Comdty"</f>
        <v>EDZ2 Comdty</v>
      </c>
      <c r="D21" s="32" t="e">
        <f ca="1">1-_xll.BDP($C21,$D$11,"UpdFreq="&amp;$A$6)/100</f>
        <v>#NAME?</v>
      </c>
      <c r="E21" s="32" t="e">
        <f ca="1">1-_xll.BDP($C21,$E$11,"UpdFreq="&amp;$A$6)/100</f>
        <v>#NAME?</v>
      </c>
      <c r="F21" s="32" t="e">
        <f t="shared" ref="F21:F43" ca="1" si="3">AVERAGE(D21,E21)</f>
        <v>#NAME?</v>
      </c>
      <c r="G21" s="93"/>
      <c r="H21" s="35">
        <v>3</v>
      </c>
      <c r="I21" s="35" t="s">
        <v>29</v>
      </c>
      <c r="J21" s="52" t="e">
        <f ca="1">DATEVALUE(_xll.BDP(C21,"INT_RATE_FUT_START_DT"))</f>
        <v>#NAME?</v>
      </c>
      <c r="K21" s="94" t="e">
        <f ca="1">_xll.BAddPeriods($J21,"Per="&amp;I21,"NumberOfPeriods="&amp;H21,$J$3,$J$4)</f>
        <v>#NAME?</v>
      </c>
      <c r="L21" s="77"/>
    </row>
    <row r="22" spans="1:12">
      <c r="A22" s="290"/>
      <c r="B22" s="33" t="s">
        <v>189</v>
      </c>
      <c r="C22" s="33" t="str">
        <f>futures_code &amp; B22 &amp;" Comdty"</f>
        <v>EDH3 Comdty</v>
      </c>
      <c r="D22" s="34" t="e">
        <f ca="1">1-_xll.BDP($C22,$D$11,"UpdFreq="&amp;$A$6)/100</f>
        <v>#NAME?</v>
      </c>
      <c r="E22" s="34" t="e">
        <f ca="1">1-_xll.BDP($C22,$E$11,"UpdFreq="&amp;$A$6)/100</f>
        <v>#NAME?</v>
      </c>
      <c r="F22" s="34" t="e">
        <f t="shared" ca="1" si="3"/>
        <v>#NAME?</v>
      </c>
      <c r="G22" s="93"/>
      <c r="H22" s="35">
        <v>3</v>
      </c>
      <c r="I22" s="35" t="s">
        <v>29</v>
      </c>
      <c r="J22" s="52" t="e">
        <f ca="1">DATEVALUE(_xll.BDP(C22,"INT_RATE_FUT_START_DT"))</f>
        <v>#NAME?</v>
      </c>
      <c r="K22" s="94" t="e">
        <f ca="1">_xll.BAddPeriods($J22,"Per="&amp;I22,"NumberOfPeriods="&amp;H22,$J$3,$J$4)</f>
        <v>#NAME?</v>
      </c>
      <c r="L22"/>
    </row>
    <row r="23" spans="1:12">
      <c r="A23" s="290"/>
      <c r="B23" s="33" t="s">
        <v>190</v>
      </c>
      <c r="C23" s="33" t="str">
        <f t="shared" si="2"/>
        <v>EDM3 Comdty</v>
      </c>
      <c r="D23" s="34" t="e">
        <f ca="1">1-_xll.BDP($C23,$D$11,"UpdFreq="&amp;$A$6)/100</f>
        <v>#NAME?</v>
      </c>
      <c r="E23" s="34" t="e">
        <f ca="1">1-_xll.BDP($C23,$E$11,"UpdFreq="&amp;$A$6)/100</f>
        <v>#NAME?</v>
      </c>
      <c r="F23" s="34" t="e">
        <f t="shared" ca="1" si="3"/>
        <v>#NAME?</v>
      </c>
      <c r="G23" s="93"/>
      <c r="H23" s="35">
        <v>3</v>
      </c>
      <c r="I23" s="35" t="s">
        <v>29</v>
      </c>
      <c r="J23" s="52" t="e">
        <f ca="1">DATEVALUE(_xll.BDP(C23,"INT_RATE_FUT_START_DT"))</f>
        <v>#NAME?</v>
      </c>
      <c r="K23" s="94" t="e">
        <f ca="1">_xll.BAddPeriods($J23,"Per="&amp;I23,"NumberOfPeriods="&amp;H23,$J$3,$J$4)</f>
        <v>#NAME?</v>
      </c>
      <c r="L23" s="77"/>
    </row>
    <row r="24" spans="1:12">
      <c r="A24" s="290"/>
      <c r="B24" s="33" t="s">
        <v>191</v>
      </c>
      <c r="C24" s="33" t="str">
        <f t="shared" si="2"/>
        <v>EDU3 Comdty</v>
      </c>
      <c r="D24" s="34" t="e">
        <f ca="1">1-_xll.BDP($C24,$D$11,"UpdFreq="&amp;$A$6)/100</f>
        <v>#NAME?</v>
      </c>
      <c r="E24" s="34" t="e">
        <f ca="1">1-_xll.BDP($C24,$E$11,"UpdFreq="&amp;$A$6)/100</f>
        <v>#NAME?</v>
      </c>
      <c r="F24" s="34" t="e">
        <f t="shared" ca="1" si="3"/>
        <v>#NAME?</v>
      </c>
      <c r="G24" s="93"/>
      <c r="H24" s="35">
        <v>3</v>
      </c>
      <c r="I24" s="35" t="s">
        <v>29</v>
      </c>
      <c r="J24" s="52" t="e">
        <f ca="1">DATEVALUE(_xll.BDP(C24,"INT_RATE_FUT_START_DT"))</f>
        <v>#NAME?</v>
      </c>
      <c r="K24" s="94" t="e">
        <f ca="1">_xll.BAddPeriods($J24,"Per="&amp;I24,"NumberOfPeriods="&amp;H24,$J$3,$J$4)</f>
        <v>#NAME?</v>
      </c>
      <c r="L24" s="77"/>
    </row>
    <row r="25" spans="1:12">
      <c r="A25" s="290"/>
      <c r="B25" s="33" t="s">
        <v>192</v>
      </c>
      <c r="C25" s="33" t="str">
        <f t="shared" si="2"/>
        <v>EDZ3 Comdty</v>
      </c>
      <c r="D25" s="34" t="e">
        <f ca="1">1-_xll.BDP($C25,$D$11,"UpdFreq="&amp;$A$6)/100</f>
        <v>#NAME?</v>
      </c>
      <c r="E25" s="34" t="e">
        <f ca="1">1-_xll.BDP($C25,$E$11,"UpdFreq="&amp;$A$6)/100</f>
        <v>#NAME?</v>
      </c>
      <c r="F25" s="34" t="e">
        <f t="shared" ca="1" si="3"/>
        <v>#NAME?</v>
      </c>
      <c r="G25" s="93"/>
      <c r="H25" s="35">
        <v>3</v>
      </c>
      <c r="I25" s="35" t="s">
        <v>29</v>
      </c>
      <c r="J25" s="52" t="e">
        <f ca="1">DATEVALUE(_xll.BDP(C25,"INT_RATE_FUT_START_DT"))</f>
        <v>#NAME?</v>
      </c>
      <c r="K25" s="94" t="e">
        <f ca="1">_xll.BAddPeriods($J25,"Per="&amp;I25,"NumberOfPeriods="&amp;H25,$J$3,$J$4)</f>
        <v>#NAME?</v>
      </c>
      <c r="L25" s="77"/>
    </row>
    <row r="26" spans="1:12">
      <c r="A26" s="290"/>
      <c r="B26" s="33" t="s">
        <v>193</v>
      </c>
      <c r="C26" s="33" t="str">
        <f t="shared" si="2"/>
        <v>EDH4 Comdty</v>
      </c>
      <c r="D26" s="34" t="e">
        <f ca="1">1-_xll.BDP($C26,$D$11,"UpdFreq="&amp;$A$6)/100</f>
        <v>#NAME?</v>
      </c>
      <c r="E26" s="34" t="e">
        <f ca="1">1-_xll.BDP($C26,$E$11,"UpdFreq="&amp;$A$6)/100</f>
        <v>#NAME?</v>
      </c>
      <c r="F26" s="34" t="e">
        <f t="shared" ca="1" si="3"/>
        <v>#NAME?</v>
      </c>
      <c r="G26" s="93"/>
      <c r="H26" s="35">
        <v>3</v>
      </c>
      <c r="I26" s="35" t="s">
        <v>29</v>
      </c>
      <c r="J26" s="52" t="e">
        <f ca="1">DATEVALUE(_xll.BDP(C26,"INT_RATE_FUT_START_DT"))</f>
        <v>#NAME?</v>
      </c>
      <c r="K26" s="94" t="e">
        <f ca="1">_xll.BAddPeriods($J26,"Per="&amp;I26,"NumberOfPeriods="&amp;H26,$J$3,$J$4)</f>
        <v>#NAME?</v>
      </c>
      <c r="L26" s="77"/>
    </row>
    <row r="27" spans="1:12">
      <c r="A27" s="290"/>
      <c r="B27" s="33" t="s">
        <v>194</v>
      </c>
      <c r="C27" s="33" t="str">
        <f t="shared" si="2"/>
        <v>EDM4 Comdty</v>
      </c>
      <c r="D27" s="34" t="e">
        <f ca="1">1-_xll.BDP($C27,$D$11,"UpdFreq="&amp;$A$6)/100</f>
        <v>#NAME?</v>
      </c>
      <c r="E27" s="34" t="e">
        <f ca="1">1-_xll.BDP($C27,$E$11,"UpdFreq="&amp;$A$6)/100</f>
        <v>#NAME?</v>
      </c>
      <c r="F27" s="34" t="e">
        <f t="shared" ca="1" si="3"/>
        <v>#NAME?</v>
      </c>
      <c r="G27" s="93"/>
      <c r="H27" s="35">
        <v>3</v>
      </c>
      <c r="I27" s="35" t="s">
        <v>29</v>
      </c>
      <c r="J27" s="52" t="e">
        <f ca="1">DATEVALUE(_xll.BDP(C27,"INT_RATE_FUT_START_DT"))</f>
        <v>#NAME?</v>
      </c>
      <c r="K27" s="94" t="e">
        <f ca="1">_xll.BAddPeriods($J27,"Per="&amp;I27,"NumberOfPeriods="&amp;H27,$J$3,$J$4)</f>
        <v>#NAME?</v>
      </c>
      <c r="L27" s="77"/>
    </row>
    <row r="28" spans="1:12">
      <c r="A28" s="291"/>
      <c r="B28" s="36" t="s">
        <v>205</v>
      </c>
      <c r="C28" s="36" t="str">
        <f t="shared" si="2"/>
        <v>EDU4 Comdty</v>
      </c>
      <c r="D28" s="37" t="e">
        <f ca="1">1-_xll.BDP($C28,$D$11,"UpdFreq="&amp;$A$6)/100</f>
        <v>#NAME?</v>
      </c>
      <c r="E28" s="37" t="e">
        <f ca="1">1-_xll.BDP($C28,$E$11,"UpdFreq="&amp;$A$6)/100</f>
        <v>#NAME?</v>
      </c>
      <c r="F28" s="37" t="e">
        <f t="shared" ca="1" si="3"/>
        <v>#NAME?</v>
      </c>
      <c r="G28" s="93"/>
      <c r="H28" s="38">
        <v>3</v>
      </c>
      <c r="I28" s="38" t="s">
        <v>29</v>
      </c>
      <c r="J28" s="53" t="e">
        <f ca="1">DATEVALUE(_xll.BDP(C28,"INT_RATE_FUT_START_DT"))</f>
        <v>#NAME?</v>
      </c>
      <c r="K28" s="94" t="e">
        <f ca="1">_xll.BAddPeriods($J28,"Per="&amp;I28,"NumberOfPeriods="&amp;H28,$J$3,$J$4)</f>
        <v>#NAME?</v>
      </c>
      <c r="L28" s="77"/>
    </row>
    <row r="29" spans="1:12">
      <c r="A29" s="286" t="s">
        <v>5</v>
      </c>
      <c r="B29" s="39" t="s">
        <v>3</v>
      </c>
      <c r="C29" s="44" t="e">
        <f ca="1">$J$5 &amp; "SA" &amp; LEFT(B29,1) &amp;" " &amp; $D$5&amp; " Index"</f>
        <v>#NAME?</v>
      </c>
      <c r="D29" s="41" t="e">
        <f ca="1">IF(ISNUMBER(_xll.BDP(C29,$D$11,"UpdFreq="&amp;$A$5)),(_xll.BDP(C29,$D$11,"UpdFreq="&amp;$A$5)+G29)/100,(_xll.BDP(C29,"LAST PRICE","UpdFreq="&amp;$A$5)+G29)/100)</f>
        <v>#NAME?</v>
      </c>
      <c r="E29" s="41" t="e">
        <f ca="1">IF(ISNUMBER(_xll.BDP(C29,$E$11,"UpdFreq="&amp;$A$5)),(_xll.BDP(C29,$E$11,"UpdFreq="&amp;$A$5)+G29)/100,(_xll.BDP(C29,"LAST PRICE","UpdFreq="&amp;$A$5)+G29)/100)</f>
        <v>#NAME?</v>
      </c>
      <c r="F29" s="41" t="e">
        <f t="shared" ca="1" si="3"/>
        <v>#NAME?</v>
      </c>
      <c r="G29" s="73"/>
      <c r="H29" s="42">
        <v>1</v>
      </c>
      <c r="I29" s="42" t="s">
        <v>30</v>
      </c>
      <c r="J29" s="61" t="e">
        <f ca="1">$H$4</f>
        <v>#NAME?</v>
      </c>
      <c r="K29" s="83" t="e">
        <f ca="1">_xll.BAddPeriods($H$4,"Per="&amp;I29,"NumberOfPeriods="&amp;H29,$J$3,$J$4)</f>
        <v>#NAME?</v>
      </c>
      <c r="L29" s="92"/>
    </row>
    <row r="30" spans="1:12">
      <c r="A30" s="286"/>
      <c r="B30" s="43" t="s">
        <v>7</v>
      </c>
      <c r="C30" s="44" t="e">
        <f t="shared" ref="C30:C37" ca="1" si="4">$J$5 &amp; "SA" &amp; LEFT(B30,1) &amp;" " &amp; $D$5&amp; " Index"</f>
        <v>#NAME?</v>
      </c>
      <c r="D30" s="45" t="e">
        <f ca="1">IF(ISNUMBER(_xll.BDP(C30,$D$11,"UpdFreq="&amp;$A$5)),(_xll.BDP(C30,$D$11,"UpdFreq="&amp;$A$5)+G30)/100,(_xll.BDP(C30,"LAST PRICE","UpdFreq="&amp;$A$5)+G30)/100)</f>
        <v>#NAME?</v>
      </c>
      <c r="E30" s="45" t="e">
        <f ca="1">IF(ISNUMBER(_xll.BDP(C30,$E$11,"UpdFreq="&amp;$A$5)),(_xll.BDP(C30,$E$11,"UpdFreq="&amp;$A$5)+G30)/100,(_xll.BDP(C30,"LAST PRICE","UpdFreq="&amp;$A$5)+G30)/100)</f>
        <v>#NAME?</v>
      </c>
      <c r="F30" s="45" t="e">
        <f t="shared" ca="1" si="3"/>
        <v>#NAME?</v>
      </c>
      <c r="G30" s="73"/>
      <c r="H30" s="46">
        <f t="shared" ref="H30:H43" si="5">VALUE(LEFT(B30,2))</f>
        <v>2</v>
      </c>
      <c r="I30" s="46" t="s">
        <v>30</v>
      </c>
      <c r="J30" s="65"/>
      <c r="K30" s="81" t="e">
        <f ca="1">_xll.BAddPeriods($H$4,"Per="&amp;I30,"NumberOfPeriods="&amp;H30,$J$3,$J$4)</f>
        <v>#NAME?</v>
      </c>
      <c r="L30" s="92"/>
    </row>
    <row r="31" spans="1:12">
      <c r="A31" s="286"/>
      <c r="B31" s="43" t="s">
        <v>8</v>
      </c>
      <c r="C31" s="44" t="e">
        <f t="shared" ca="1" si="4"/>
        <v>#NAME?</v>
      </c>
      <c r="D31" s="45" t="e">
        <f ca="1">IF(ISNUMBER(_xll.BDP(C31,$D$11,"UpdFreq="&amp;$A$5)),(_xll.BDP(C31,$D$11,"UpdFreq="&amp;$A$5)+G31)/100,(_xll.BDP(C31,"LAST PRICE","UpdFreq="&amp;$A$5)+G31)/100)</f>
        <v>#NAME?</v>
      </c>
      <c r="E31" s="45" t="e">
        <f ca="1">IF(ISNUMBER(_xll.BDP(C31,$E$11,"UpdFreq="&amp;$A$5)),(_xll.BDP(C31,$E$11,"UpdFreq="&amp;$A$5)+G31)/100,(_xll.BDP(C31,"LAST PRICE","UpdFreq="&amp;$A$5)+G31)/100)</f>
        <v>#NAME?</v>
      </c>
      <c r="F31" s="45" t="e">
        <f t="shared" ca="1" si="3"/>
        <v>#NAME?</v>
      </c>
      <c r="G31" s="73"/>
      <c r="H31" s="46">
        <f t="shared" si="5"/>
        <v>3</v>
      </c>
      <c r="I31" s="46" t="s">
        <v>30</v>
      </c>
      <c r="J31" s="65"/>
      <c r="K31" s="81" t="e">
        <f ca="1">_xll.BAddPeriods($H$4,"Per="&amp;I31,"NumberOfPeriods="&amp;H31,$J$3,$J$4)</f>
        <v>#NAME?</v>
      </c>
      <c r="L31" s="92"/>
    </row>
    <row r="32" spans="1:12">
      <c r="A32" s="286"/>
      <c r="B32" s="43" t="s">
        <v>9</v>
      </c>
      <c r="C32" s="44" t="e">
        <f t="shared" ca="1" si="4"/>
        <v>#NAME?</v>
      </c>
      <c r="D32" s="45" t="e">
        <f ca="1">IF(ISNUMBER(_xll.BDP(C32,$D$11,"UpdFreq="&amp;$A$5)),(_xll.BDP(C32,$D$11,"UpdFreq="&amp;$A$5)+G32)/100,(_xll.BDP(C32,"LAST PRICE","UpdFreq="&amp;$A$5)+G32)/100)</f>
        <v>#NAME?</v>
      </c>
      <c r="E32" s="45" t="e">
        <f ca="1">IF(ISNUMBER(_xll.BDP(C32,$E$11,"UpdFreq="&amp;$A$5)),(_xll.BDP(C32,$E$11,"UpdFreq="&amp;$A$5)+G32)/100,(_xll.BDP(C32,"LAST PRICE","UpdFreq="&amp;$A$5)+G32)/100)</f>
        <v>#NAME?</v>
      </c>
      <c r="F32" s="45" t="e">
        <f t="shared" ca="1" si="3"/>
        <v>#NAME?</v>
      </c>
      <c r="G32" s="73"/>
      <c r="H32" s="46">
        <f t="shared" si="5"/>
        <v>4</v>
      </c>
      <c r="I32" s="46" t="s">
        <v>30</v>
      </c>
      <c r="J32" s="65"/>
      <c r="K32" s="81" t="e">
        <f ca="1">_xll.BAddPeriods($H$4,"Per="&amp;I32,"NumberOfPeriods="&amp;H32,$J$3,$J$4)</f>
        <v>#NAME?</v>
      </c>
      <c r="L32" s="92"/>
    </row>
    <row r="33" spans="1:12">
      <c r="A33" s="286"/>
      <c r="B33" s="43" t="s">
        <v>10</v>
      </c>
      <c r="C33" s="44" t="e">
        <f t="shared" ca="1" si="4"/>
        <v>#NAME?</v>
      </c>
      <c r="D33" s="45" t="e">
        <f ca="1">IF(ISNUMBER(_xll.BDP(C33,$D$11,"UpdFreq="&amp;$A$5)),(_xll.BDP(C33,$D$11,"UpdFreq="&amp;$A$5)+G33)/100,(_xll.BDP(C33,"LAST PRICE","UpdFreq="&amp;$A$5)+G33)/100)</f>
        <v>#NAME?</v>
      </c>
      <c r="E33" s="45" t="e">
        <f ca="1">IF(ISNUMBER(_xll.BDP(C33,$E$11,"UpdFreq="&amp;$A$5)),(_xll.BDP(C33,$E$11,"UpdFreq="&amp;$A$5)+G33)/100,(_xll.BDP(C33,"LAST PRICE","UpdFreq="&amp;$A$5)+G33)/100)</f>
        <v>#NAME?</v>
      </c>
      <c r="F33" s="45" t="e">
        <f t="shared" ca="1" si="3"/>
        <v>#NAME?</v>
      </c>
      <c r="G33" s="73"/>
      <c r="H33" s="46">
        <f t="shared" si="5"/>
        <v>5</v>
      </c>
      <c r="I33" s="46" t="s">
        <v>30</v>
      </c>
      <c r="J33" s="65"/>
      <c r="K33" s="81" t="e">
        <f ca="1">_xll.BAddPeriods($H$4,"Per="&amp;I33,"NumberOfPeriods="&amp;H33,$J$3,$J$4)</f>
        <v>#NAME?</v>
      </c>
      <c r="L33" s="92"/>
    </row>
    <row r="34" spans="1:12">
      <c r="A34" s="286"/>
      <c r="B34" s="43" t="s">
        <v>11</v>
      </c>
      <c r="C34" s="44" t="e">
        <f t="shared" ca="1" si="4"/>
        <v>#NAME?</v>
      </c>
      <c r="D34" s="45" t="e">
        <f ca="1">IF(ISNUMBER(_xll.BDP(C34,$D$11,"UpdFreq="&amp;$A$5)),(_xll.BDP(C34,$D$11,"UpdFreq="&amp;$A$5)+G34)/100,(_xll.BDP(C34,"LAST PRICE","UpdFreq="&amp;$A$5)+G34)/100)</f>
        <v>#NAME?</v>
      </c>
      <c r="E34" s="45" t="e">
        <f ca="1">IF(ISNUMBER(_xll.BDP(C34,$E$11,"UpdFreq="&amp;$A$5)),(_xll.BDP(C34,$E$11,"UpdFreq="&amp;$A$5)+G34)/100,(_xll.BDP(C34,"LAST PRICE","UpdFreq="&amp;$A$5)+G34)/100)</f>
        <v>#NAME?</v>
      </c>
      <c r="F34" s="45" t="e">
        <f t="shared" ca="1" si="3"/>
        <v>#NAME?</v>
      </c>
      <c r="G34" s="73"/>
      <c r="H34" s="46">
        <f t="shared" si="5"/>
        <v>6</v>
      </c>
      <c r="I34" s="46" t="s">
        <v>30</v>
      </c>
      <c r="J34" s="65"/>
      <c r="K34" s="81" t="e">
        <f ca="1">_xll.BAddPeriods($H$4,"Per="&amp;I34,"NumberOfPeriods="&amp;H34,$J$3,$J$4)</f>
        <v>#NAME?</v>
      </c>
      <c r="L34" s="92"/>
    </row>
    <row r="35" spans="1:12">
      <c r="A35" s="286"/>
      <c r="B35" s="43" t="s">
        <v>12</v>
      </c>
      <c r="C35" s="44" t="e">
        <f t="shared" ca="1" si="4"/>
        <v>#NAME?</v>
      </c>
      <c r="D35" s="45" t="e">
        <f ca="1">IF(ISNUMBER(_xll.BDP(C35,$D$11,"UpdFreq="&amp;$A$5)),(_xll.BDP(C35,$D$11,"UpdFreq="&amp;$A$5)+G35)/100,(_xll.BDP(C35,"LAST PRICE","UpdFreq="&amp;$A$5)+G35)/100)</f>
        <v>#NAME?</v>
      </c>
      <c r="E35" s="45" t="e">
        <f ca="1">IF(ISNUMBER(_xll.BDP(C35,$E$11,"UpdFreq="&amp;$A$5)),(_xll.BDP(C35,$E$11,"UpdFreq="&amp;$A$5)+G35)/100,(_xll.BDP(C35,"LAST PRICE","UpdFreq="&amp;$A$5)+G35)/100)</f>
        <v>#NAME?</v>
      </c>
      <c r="F35" s="45" t="e">
        <f t="shared" ca="1" si="3"/>
        <v>#NAME?</v>
      </c>
      <c r="G35" s="73"/>
      <c r="H35" s="46">
        <f t="shared" si="5"/>
        <v>7</v>
      </c>
      <c r="I35" s="46" t="s">
        <v>30</v>
      </c>
      <c r="J35" s="65"/>
      <c r="K35" s="81" t="e">
        <f ca="1">_xll.BAddPeriods($H$4,"Per="&amp;I35,"NumberOfPeriods="&amp;H35,$J$3,$J$4)</f>
        <v>#NAME?</v>
      </c>
      <c r="L35" s="92"/>
    </row>
    <row r="36" spans="1:12">
      <c r="A36" s="286"/>
      <c r="B36" s="43" t="s">
        <v>13</v>
      </c>
      <c r="C36" s="44" t="e">
        <f t="shared" ca="1" si="4"/>
        <v>#NAME?</v>
      </c>
      <c r="D36" s="45" t="e">
        <f ca="1">IF(ISNUMBER(_xll.BDP(C36,$D$11,"UpdFreq="&amp;$A$5)),(_xll.BDP(C36,$D$11,"UpdFreq="&amp;$A$5)+G36)/100,(_xll.BDP(C36,"LAST PRICE","UpdFreq="&amp;$A$5)+G36)/100)</f>
        <v>#NAME?</v>
      </c>
      <c r="E36" s="45" t="e">
        <f ca="1">IF(ISNUMBER(_xll.BDP(C36,$E$11,"UpdFreq="&amp;$A$5)),(_xll.BDP(C36,$E$11,"UpdFreq="&amp;$A$5)+G36)/100,(_xll.BDP(C36,"LAST PRICE","UpdFreq="&amp;$A$5)+G36)/100)</f>
        <v>#NAME?</v>
      </c>
      <c r="F36" s="45" t="e">
        <f t="shared" ca="1" si="3"/>
        <v>#NAME?</v>
      </c>
      <c r="G36" s="73"/>
      <c r="H36" s="46">
        <f t="shared" si="5"/>
        <v>8</v>
      </c>
      <c r="I36" s="46" t="s">
        <v>30</v>
      </c>
      <c r="J36" s="65"/>
      <c r="K36" s="81" t="e">
        <f ca="1">_xll.BAddPeriods($H$4,"Per="&amp;I36,"NumberOfPeriods="&amp;H36,$J$3,$J$4)</f>
        <v>#NAME?</v>
      </c>
      <c r="L36" s="92"/>
    </row>
    <row r="37" spans="1:12">
      <c r="A37" s="287"/>
      <c r="B37" s="43" t="s">
        <v>14</v>
      </c>
      <c r="C37" s="44" t="e">
        <f t="shared" ca="1" si="4"/>
        <v>#NAME?</v>
      </c>
      <c r="D37" s="45" t="e">
        <f ca="1">IF(ISNUMBER(_xll.BDP(C37,$D$11,"UpdFreq="&amp;$A$5)),(_xll.BDP(C37,$D$11,"UpdFreq="&amp;$A$5)+G37)/100,(_xll.BDP(C37,"LAST PRICE","UpdFreq="&amp;$A$5)+G37)/100)</f>
        <v>#NAME?</v>
      </c>
      <c r="E37" s="45" t="e">
        <f ca="1">IF(ISNUMBER(_xll.BDP(C37,$E$11,"UpdFreq="&amp;$A$5)),(_xll.BDP(C37,$E$11,"UpdFreq="&amp;$A$5)+G37)/100,(_xll.BDP(C37,"LAST PRICE","UpdFreq="&amp;$A$5)+G37)/100)</f>
        <v>#NAME?</v>
      </c>
      <c r="F37" s="45" t="e">
        <f t="shared" ca="1" si="3"/>
        <v>#NAME?</v>
      </c>
      <c r="G37" s="73"/>
      <c r="H37" s="46">
        <f t="shared" si="5"/>
        <v>9</v>
      </c>
      <c r="I37" s="46" t="s">
        <v>30</v>
      </c>
      <c r="J37" s="65"/>
      <c r="K37" s="81" t="e">
        <f ca="1">_xll.BAddPeriods($H$4,"Per="&amp;I37,"NumberOfPeriods="&amp;H37,$J$3,$J$4)</f>
        <v>#NAME?</v>
      </c>
      <c r="L37" s="92"/>
    </row>
    <row r="38" spans="1:12">
      <c r="A38" s="287"/>
      <c r="B38" s="43" t="s">
        <v>15</v>
      </c>
      <c r="C38" s="44" t="e">
        <f ca="1">$J$5 &amp; "SA" &amp; LEFT(B38,2) &amp;" " &amp; $D$5&amp; " Index"</f>
        <v>#NAME?</v>
      </c>
      <c r="D38" s="45" t="e">
        <f ca="1">IF(ISNUMBER(_xll.BDP(C38,$D$11,"UpdFreq="&amp;$A$5)),(_xll.BDP(C38,$D$11,"UpdFreq="&amp;$A$5)+G38)/100,(_xll.BDP(C38,"LAST PRICE","UpdFreq="&amp;$A$5)+G38)/100)</f>
        <v>#NAME?</v>
      </c>
      <c r="E38" s="45" t="e">
        <f ca="1">IF(ISNUMBER(_xll.BDP(C38,$E$11,"UpdFreq="&amp;$A$5)),(_xll.BDP(C38,$E$11,"UpdFreq="&amp;$A$5)+G38)/100,(_xll.BDP(C38,"LAST PRICE","UpdFreq="&amp;$A$5)+G38)/100)</f>
        <v>#NAME?</v>
      </c>
      <c r="F38" s="45" t="e">
        <f t="shared" ca="1" si="3"/>
        <v>#NAME?</v>
      </c>
      <c r="G38" s="73"/>
      <c r="H38" s="46">
        <f t="shared" si="5"/>
        <v>10</v>
      </c>
      <c r="I38" s="46" t="s">
        <v>30</v>
      </c>
      <c r="J38" s="65"/>
      <c r="K38" s="81" t="e">
        <f ca="1">_xll.BAddPeriods($H$4,"Per="&amp;I38,"NumberOfPeriods="&amp;H38,$J$3,$J$4)</f>
        <v>#NAME?</v>
      </c>
      <c r="L38" s="92"/>
    </row>
    <row r="39" spans="1:12">
      <c r="A39" s="287"/>
      <c r="B39" s="43" t="s">
        <v>16</v>
      </c>
      <c r="C39" s="44" t="e">
        <f t="shared" ref="C39:C45" ca="1" si="6">$J$5 &amp; "SA" &amp; LEFT(B39,2) &amp;" " &amp; $D$5&amp; " Index"</f>
        <v>#NAME?</v>
      </c>
      <c r="D39" s="45" t="e">
        <f ca="1">IF(ISNUMBER(_xll.BDP(C39,$D$11,"UpdFreq="&amp;$A$5)),(_xll.BDP(C39,$D$11,"UpdFreq="&amp;$A$5)+G39)/100,(_xll.BDP(C39,"LAST PRICE","UpdFreq="&amp;$A$5)+G39)/100)</f>
        <v>#NAME?</v>
      </c>
      <c r="E39" s="45" t="e">
        <f ca="1">IF(ISNUMBER(_xll.BDP(C39,$E$11,"UpdFreq="&amp;$A$5)),(_xll.BDP(C39,$E$11,"UpdFreq="&amp;$A$5)+G39)/100,(_xll.BDP(C39,"LAST PRICE","UpdFreq="&amp;$A$5)+G39)/100)</f>
        <v>#NAME?</v>
      </c>
      <c r="F39" s="45" t="e">
        <f t="shared" ca="1" si="3"/>
        <v>#NAME?</v>
      </c>
      <c r="G39" s="73"/>
      <c r="H39" s="46">
        <f t="shared" si="5"/>
        <v>12</v>
      </c>
      <c r="I39" s="46" t="s">
        <v>30</v>
      </c>
      <c r="J39" s="65"/>
      <c r="K39" s="81" t="e">
        <f ca="1">_xll.BAddPeriods($H$4,"Per="&amp;I39,"NumberOfPeriods="&amp;H39,$J$3,$J$4)</f>
        <v>#NAME?</v>
      </c>
      <c r="L39" s="92"/>
    </row>
    <row r="40" spans="1:12">
      <c r="A40" s="287"/>
      <c r="B40" s="43" t="s">
        <v>17</v>
      </c>
      <c r="C40" s="44" t="e">
        <f t="shared" ca="1" si="6"/>
        <v>#NAME?</v>
      </c>
      <c r="D40" s="45" t="e">
        <f ca="1">IF(ISNUMBER(_xll.BDP(C40,$D$11,"UpdFreq="&amp;$A$5)),(_xll.BDP(C40,$D$11,"UpdFreq="&amp;$A$5)+G40)/100,(_xll.BDP(C40,"LAST PRICE","UpdFreq="&amp;$A$5)+G40)/100)</f>
        <v>#NAME?</v>
      </c>
      <c r="E40" s="45" t="e">
        <f ca="1">IF(ISNUMBER(_xll.BDP(C40,$E$11,"UpdFreq="&amp;$A$5)),(_xll.BDP(C40,$E$11,"UpdFreq="&amp;$A$5)+G40)/100,(_xll.BDP(C40,"LAST PRICE","UpdFreq="&amp;$A$5)+G40)/100)</f>
        <v>#NAME?</v>
      </c>
      <c r="F40" s="45" t="e">
        <f t="shared" ca="1" si="3"/>
        <v>#NAME?</v>
      </c>
      <c r="G40" s="73"/>
      <c r="H40" s="46">
        <f t="shared" si="5"/>
        <v>15</v>
      </c>
      <c r="I40" s="46" t="s">
        <v>30</v>
      </c>
      <c r="J40" s="65"/>
      <c r="K40" s="81" t="e">
        <f ca="1">_xll.BAddPeriods($H$4,"Per="&amp;I40,"NumberOfPeriods="&amp;H40,$J$3,$J$4)</f>
        <v>#NAME?</v>
      </c>
      <c r="L40" s="92"/>
    </row>
    <row r="41" spans="1:12">
      <c r="A41" s="287"/>
      <c r="B41" s="43" t="s">
        <v>18</v>
      </c>
      <c r="C41" s="44" t="e">
        <f t="shared" ca="1" si="6"/>
        <v>#NAME?</v>
      </c>
      <c r="D41" s="45" t="e">
        <f ca="1">IF(ISNUMBER(_xll.BDP(C41,$D$11,"UpdFreq="&amp;$A$5)),(_xll.BDP(C41,$D$11,"UpdFreq="&amp;$A$5)+G41)/100,(_xll.BDP(C41,"LAST PRICE","UpdFreq="&amp;$A$5)+G41)/100)</f>
        <v>#NAME?</v>
      </c>
      <c r="E41" s="45" t="e">
        <f ca="1">IF(ISNUMBER(_xll.BDP(C41,$E$11,"UpdFreq="&amp;$A$5)),(_xll.BDP(C41,$E$11,"UpdFreq="&amp;$A$5)+G41)/100,(_xll.BDP(C41,"LAST PRICE","UpdFreq="&amp;$A$5)+G41)/100)</f>
        <v>#NAME?</v>
      </c>
      <c r="F41" s="45" t="e">
        <f t="shared" ca="1" si="3"/>
        <v>#NAME?</v>
      </c>
      <c r="G41" s="73"/>
      <c r="H41" s="46">
        <f t="shared" si="5"/>
        <v>20</v>
      </c>
      <c r="I41" s="46" t="s">
        <v>30</v>
      </c>
      <c r="J41" s="65"/>
      <c r="K41" s="81" t="e">
        <f ca="1">_xll.BAddPeriods($H$4,"Per="&amp;I41,"NumberOfPeriods="&amp;H41,$J$3,$J$4)</f>
        <v>#NAME?</v>
      </c>
      <c r="L41" s="92"/>
    </row>
    <row r="42" spans="1:12">
      <c r="A42" s="287"/>
      <c r="B42" s="43" t="s">
        <v>19</v>
      </c>
      <c r="C42" s="44" t="e">
        <f t="shared" ca="1" si="6"/>
        <v>#NAME?</v>
      </c>
      <c r="D42" s="45" t="e">
        <f ca="1">IF(ISNUMBER(_xll.BDP(C42,$D$11,"UpdFreq="&amp;$A$5)),(_xll.BDP(C42,$D$11,"UpdFreq="&amp;$A$5)+G42)/100,(_xll.BDP(C42,"LAST PRICE","UpdFreq="&amp;$A$5)+G42)/100)</f>
        <v>#NAME?</v>
      </c>
      <c r="E42" s="45" t="e">
        <f ca="1">IF(ISNUMBER(_xll.BDP(C42,$E$11,"UpdFreq="&amp;$A$5)),(_xll.BDP(C42,$E$11,"UpdFreq="&amp;$A$5)+G42)/100,(_xll.BDP(C42,"LAST PRICE","UpdFreq="&amp;$A$5)+G42)/100)</f>
        <v>#NAME?</v>
      </c>
      <c r="F42" s="45" t="e">
        <f t="shared" ca="1" si="3"/>
        <v>#NAME?</v>
      </c>
      <c r="G42" s="73"/>
      <c r="H42" s="46">
        <f t="shared" si="5"/>
        <v>25</v>
      </c>
      <c r="I42" s="46" t="s">
        <v>30</v>
      </c>
      <c r="J42" s="65"/>
      <c r="K42" s="81" t="e">
        <f ca="1">_xll.BAddPeriods($H$4,"Per="&amp;I42,"NumberOfPeriods="&amp;H42,$J$3,$J$4)</f>
        <v>#NAME?</v>
      </c>
      <c r="L42" s="92"/>
    </row>
    <row r="43" spans="1:12">
      <c r="A43" s="287"/>
      <c r="B43" s="43" t="s">
        <v>20</v>
      </c>
      <c r="C43" s="44" t="e">
        <f t="shared" ca="1" si="6"/>
        <v>#NAME?</v>
      </c>
      <c r="D43" s="45" t="e">
        <f ca="1">IF(ISNUMBER(_xll.BDP(C43,$D$11,"UpdFreq="&amp;$A$5)),(_xll.BDP(C43,$D$11,"UpdFreq="&amp;$A$5)+G43)/100,(_xll.BDP(C43,"LAST PRICE","UpdFreq="&amp;$A$5)+G43)/100)</f>
        <v>#NAME?</v>
      </c>
      <c r="E43" s="45" t="e">
        <f ca="1">IF(ISNUMBER(_xll.BDP(C43,$E$11,"UpdFreq="&amp;$A$5)),(_xll.BDP(C43,$E$11,"UpdFreq="&amp;$A$5)+G43)/100,(_xll.BDP(C43,"LAST PRICE","UpdFreq="&amp;$A$5)+G43)/100)</f>
        <v>#NAME?</v>
      </c>
      <c r="F43" s="45" t="e">
        <f t="shared" ca="1" si="3"/>
        <v>#NAME?</v>
      </c>
      <c r="G43" s="73"/>
      <c r="H43" s="46">
        <f t="shared" si="5"/>
        <v>30</v>
      </c>
      <c r="I43" s="46" t="s">
        <v>30</v>
      </c>
      <c r="J43" s="65"/>
      <c r="K43" s="81" t="e">
        <f ca="1">_xll.BAddPeriods($H$4,"Per="&amp;I43,"NumberOfPeriods="&amp;H43,$J$3,$J$4)</f>
        <v>#NAME?</v>
      </c>
      <c r="L43" s="92"/>
    </row>
    <row r="44" spans="1:12">
      <c r="A44" s="287"/>
      <c r="B44" s="43" t="s">
        <v>21</v>
      </c>
      <c r="C44" s="44" t="e">
        <f t="shared" ca="1" si="6"/>
        <v>#NAME?</v>
      </c>
      <c r="D44" s="45" t="e">
        <f ca="1">IF(ISNUMBER(_xll.BDP(C44,$D$11,"UpdFreq="&amp;$A$6)),(_xll.BDP(C44,$D$11,"UpdFreq="&amp;$A$6)+G44)/100,(_xll.BDP(C44,"LAST PRICE","UpdFreq="&amp;$A$6)+G44)/100)</f>
        <v>#NAME?</v>
      </c>
      <c r="E44" s="45" t="e">
        <f ca="1">IF(ISNUMBER(_xll.BDP(C44,$E$11,"UpdFreq="&amp;$A$6)),(_xll.BDP(C44,$E$11,"UpdFreq="&amp;$A$6)+G44)/100,(_xll.BDP(C44,"LAST PRICE","UpdFreq="&amp;$A$6)+G44)/100)</f>
        <v>#NAME?</v>
      </c>
      <c r="F44" s="45" t="e">
        <f ca="1">AVERAGE(D44,E44)</f>
        <v>#NAME?</v>
      </c>
      <c r="G44" s="73"/>
      <c r="H44" s="46">
        <f>VALUE(LEFT(B44,2))</f>
        <v>35</v>
      </c>
      <c r="I44" s="46" t="s">
        <v>30</v>
      </c>
      <c r="J44" s="65"/>
      <c r="K44" s="81" t="e">
        <f ca="1">_xll.BAddPeriods($H$4,"Per="&amp;I44,"NumberOfPeriods="&amp;H44,$J$3,$J$4)</f>
        <v>#NAME?</v>
      </c>
      <c r="L44" s="92"/>
    </row>
    <row r="45" spans="1:12">
      <c r="A45" s="287"/>
      <c r="B45" s="43" t="s">
        <v>22</v>
      </c>
      <c r="C45" s="44" t="e">
        <f t="shared" ca="1" si="6"/>
        <v>#NAME?</v>
      </c>
      <c r="D45" s="45" t="e">
        <f ca="1">IF(ISNUMBER(_xll.BDP(C45,$D$11,"UpdFreq="&amp;$A$6)),(_xll.BDP(C45,$D$11,"UpdFreq="&amp;$A$6)+G45)/100,(_xll.BDP(C45,"LAST PRICE","UpdFreq="&amp;$A$6)+G45)/100)</f>
        <v>#NAME?</v>
      </c>
      <c r="E45" s="45" t="e">
        <f ca="1">IF(ISNUMBER(_xll.BDP(C45,$E$11,"UpdFreq="&amp;$A$6)),(_xll.BDP(C45,$E$11,"UpdFreq="&amp;$A$6)+G45)/100,(_xll.BDP(C45,"LAST PRICE","UpdFreq="&amp;$A$6)+G45)/100)</f>
        <v>#NAME?</v>
      </c>
      <c r="F45" s="45" t="e">
        <f ca="1">AVERAGE(D45,E45)</f>
        <v>#NAME?</v>
      </c>
      <c r="G45" s="73"/>
      <c r="H45" s="46">
        <f>VALUE(LEFT(B45,2))</f>
        <v>40</v>
      </c>
      <c r="I45" s="46" t="s">
        <v>30</v>
      </c>
      <c r="J45" s="65"/>
      <c r="K45" s="81" t="e">
        <f ca="1">_xll.BAddPeriods($H$4,"Per="&amp;I45,"NumberOfPeriods="&amp;H45,$J$3,$J$4)</f>
        <v>#NAME?</v>
      </c>
      <c r="L45" s="92"/>
    </row>
    <row r="46" spans="1:12">
      <c r="A46" s="288"/>
      <c r="B46" s="47" t="s">
        <v>24</v>
      </c>
      <c r="C46" s="48" t="e">
        <f ca="1">$J$5 &amp; "SA" &amp; LEFT(B46,2) &amp;" " &amp; $D$5&amp; " Index"</f>
        <v>#NAME?</v>
      </c>
      <c r="D46" s="49" t="e">
        <f ca="1">IF(ISNUMBER(_xll.BDP(C46,$D$11,"UpdFreq="&amp;$A$6)),(_xll.BDP(C46,$D$11,"UpdFreq="&amp;$A$6)+G46)/100,(_xll.BDP(C46,"LAST PRICE","UpdFreq="&amp;$A$6)+G46)/100)</f>
        <v>#NAME?</v>
      </c>
      <c r="E46" s="49" t="e">
        <f ca="1">IF(ISNUMBER(_xll.BDP(C46,$E$11,"UpdFreq="&amp;$A$6)),(_xll.BDP(C46,$E$11,"UpdFreq="&amp;$A$6)+G46)/100,(_xll.BDP(C46,"LAST PRICE","UpdFreq="&amp;$A$6)+G46)/100)</f>
        <v>#NAME?</v>
      </c>
      <c r="F46" s="49" t="e">
        <f ca="1">AVERAGE(D46,E46)</f>
        <v>#NAME?</v>
      </c>
      <c r="G46" s="73"/>
      <c r="H46" s="50">
        <f>VALUE(LEFT(B46,2))</f>
        <v>50</v>
      </c>
      <c r="I46" s="50" t="s">
        <v>30</v>
      </c>
      <c r="J46" s="66"/>
      <c r="K46" s="84" t="e">
        <f ca="1">_xll.BAddPeriods($H$4,"Per="&amp;I46,"NumberOfPeriods="&amp;H46,$J$3,$J$4)</f>
        <v>#NAME?</v>
      </c>
      <c r="L46" s="92"/>
    </row>
    <row r="47" spans="1:12">
      <c r="B47" s="272" t="s">
        <v>206</v>
      </c>
      <c r="C47" s="273" t="e">
        <f ca="1">$J$5 &amp; "SA" &amp; "1F" &amp;" " &amp; $D$5&amp; " Index"</f>
        <v>#NAME?</v>
      </c>
      <c r="D47" s="274" t="e">
        <f ca="1">IF(ISNUMBER(_xll.BDP(C47,$D$11,"UpdFreq="&amp;$A$6)),(_xll.BDP(C47,$D$11,"UpdFreq="&amp;$A$6)+G47)/100,(_xll.BDP(C47,"LAST PRICE","UpdFreq="&amp;$A$6)+G47)/100)</f>
        <v>#NAME?</v>
      </c>
      <c r="E47" s="274" t="e">
        <f ca="1">IF(ISNUMBER(_xll.BDP(C47,$E$11,"UpdFreq="&amp;$A$6)),(_xll.BDP(C47,$E$11,"UpdFreq="&amp;$A$6)+G47)/100,(_xll.BDP(C47,"LAST PRICE","UpdFreq="&amp;$A$6)+G47)/100)</f>
        <v>#NAME?</v>
      </c>
      <c r="F47" s="274" t="e">
        <f ca="1">AVERAGE(D47,E47)</f>
        <v>#NAME?</v>
      </c>
      <c r="G47" s="275"/>
      <c r="H47" s="276">
        <v>1</v>
      </c>
      <c r="I47" s="276" t="s">
        <v>30</v>
      </c>
      <c r="J47" s="277" t="e">
        <f ca="1">$H$4</f>
        <v>#NAME?</v>
      </c>
      <c r="K47" s="278" t="e">
        <f ca="1">_xll.BAddPeriods($H$4,"Per="&amp;I47,"NumberOfPeriods="&amp;H47,$J$3,$J$4)</f>
        <v>#NAME?</v>
      </c>
      <c r="L47"/>
    </row>
    <row r="48" spans="1:12">
      <c r="D48" s="120" t="s">
        <v>107</v>
      </c>
      <c r="J48" s="1"/>
      <c r="L48"/>
    </row>
    <row r="49" spans="1:4">
      <c r="A49" s="117" t="s">
        <v>104</v>
      </c>
      <c r="B49" s="118" t="s">
        <v>127</v>
      </c>
      <c r="C49" s="117" t="s">
        <v>126</v>
      </c>
      <c r="D49" s="222" t="e">
        <f ca="1">_xll.BDP(C49,"LAST_PRICE","UpdFreq="&amp;$A$6)/100</f>
        <v>#NAME?</v>
      </c>
    </row>
    <row r="52" spans="1:4">
      <c r="B52" t="s">
        <v>108</v>
      </c>
    </row>
    <row r="53" spans="1:4">
      <c r="B53" t="s">
        <v>94</v>
      </c>
    </row>
    <row r="54" spans="1:4">
      <c r="B54" t="s">
        <v>95</v>
      </c>
    </row>
    <row r="55" spans="1:4">
      <c r="B55" t="s">
        <v>103</v>
      </c>
    </row>
    <row r="56" spans="1:4">
      <c r="B56" t="s">
        <v>121</v>
      </c>
    </row>
  </sheetData>
  <mergeCells count="7">
    <mergeCell ref="A29:A46"/>
    <mergeCell ref="A21:A28"/>
    <mergeCell ref="B4:C4"/>
    <mergeCell ref="B6:C6"/>
    <mergeCell ref="A12:A17"/>
    <mergeCell ref="A18:A20"/>
    <mergeCell ref="B5:C5"/>
  </mergeCells>
  <phoneticPr fontId="2" type="noConversion"/>
  <dataValidations count="3">
    <dataValidation type="list" allowBlank="1" showInputMessage="1" showErrorMessage="1" sqref="D6">
      <formula1>$AF$3:$AF$6</formula1>
    </dataValidation>
    <dataValidation type="list" allowBlank="1" showInputMessage="1" showErrorMessage="1" sqref="D3">
      <formula1>$R$2:$R$3</formula1>
    </dataValidation>
    <dataValidation type="list" allowBlank="1" showInputMessage="1" showErrorMessage="1" sqref="D4:D5">
      <formula1>Contributori</formula1>
    </dataValidation>
  </dataValidations>
  <pageMargins left="0.75" right="0.75" top="1" bottom="1" header="0.5" footer="0.5"/>
  <pageSetup paperSize="9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Foglio9" enableFormatConditionsCalculation="0">
    <tabColor indexed="48"/>
    <pageSetUpPr autoPageBreaks="0"/>
  </sheetPr>
  <dimension ref="A1:AF55"/>
  <sheetViews>
    <sheetView showGridLines="0" zoomScale="80" workbookViewId="0">
      <pane ySplit="8" topLeftCell="A9" activePane="bottomLeft" state="frozenSplit"/>
      <selection activeCell="D7" sqref="D7"/>
      <selection pane="bottomLeft" activeCell="B12" sqref="B12:K55"/>
    </sheetView>
  </sheetViews>
  <sheetFormatPr defaultColWidth="0" defaultRowHeight="12.75"/>
  <cols>
    <col min="1" max="1" width="8" style="121" customWidth="1"/>
    <col min="2" max="2" width="9.7109375" style="121" customWidth="1"/>
    <col min="3" max="3" width="19.7109375" style="121" customWidth="1"/>
    <col min="4" max="6" width="11.7109375" style="121" customWidth="1"/>
    <col min="7" max="7" width="12.7109375" style="121" customWidth="1"/>
    <col min="8" max="9" width="13.28515625" style="123" customWidth="1"/>
    <col min="10" max="11" width="14.7109375" style="121" customWidth="1"/>
    <col min="12" max="12" width="14.7109375" style="124" customWidth="1"/>
    <col min="13" max="13" width="10.140625" style="121" customWidth="1"/>
    <col min="14" max="14" width="17.7109375" style="121" bestFit="1" customWidth="1"/>
    <col min="15" max="15" width="3.42578125" style="121" customWidth="1"/>
    <col min="16" max="16" width="8.5703125" style="121" customWidth="1"/>
    <col min="17" max="17" width="0" style="121" hidden="1"/>
    <col min="18" max="18" width="8" style="121" bestFit="1" customWidth="1"/>
    <col min="19" max="19" width="8.5703125" style="121" customWidth="1"/>
    <col min="20" max="20" width="12.28515625" style="121" customWidth="1"/>
    <col min="21" max="21" width="3" style="121" customWidth="1"/>
    <col min="22" max="22" width="5.5703125" style="121" customWidth="1"/>
    <col min="23" max="23" width="7.7109375" style="121" customWidth="1"/>
    <col min="24" max="24" width="6.5703125" style="121" customWidth="1"/>
    <col min="25" max="25" width="9.5703125" style="121" customWidth="1"/>
    <col min="26" max="26" width="10.28515625" style="121" customWidth="1"/>
    <col min="27" max="27" width="10.7109375" style="121" customWidth="1"/>
    <col min="28" max="28" width="0" style="121" hidden="1"/>
    <col min="29" max="29" width="13.85546875" style="121" customWidth="1"/>
    <col min="30" max="30" width="0" style="121" hidden="1"/>
    <col min="31" max="31" width="4.85546875" style="121" customWidth="1"/>
    <col min="32" max="32" width="7.28515625" style="121" customWidth="1"/>
    <col min="33" max="16384" width="0" style="121" hidden="1"/>
  </cols>
  <sheetData>
    <row r="1" spans="1:32" ht="43.5" customHeight="1">
      <c r="B1" s="122"/>
      <c r="C1" s="122"/>
      <c r="D1" s="122"/>
      <c r="E1" s="122"/>
      <c r="M1" s="125" t="s">
        <v>61</v>
      </c>
      <c r="P1" s="126" t="s">
        <v>36</v>
      </c>
      <c r="R1" s="126"/>
      <c r="S1" s="127" t="s">
        <v>39</v>
      </c>
      <c r="T1" s="127" t="s">
        <v>40</v>
      </c>
      <c r="U1" s="127" t="s">
        <v>42</v>
      </c>
      <c r="V1" s="127" t="s">
        <v>6</v>
      </c>
      <c r="W1" s="127" t="s">
        <v>43</v>
      </c>
      <c r="X1" s="127" t="s">
        <v>5</v>
      </c>
      <c r="Y1" s="127" t="s">
        <v>53</v>
      </c>
      <c r="Z1" s="127" t="s">
        <v>52</v>
      </c>
      <c r="AA1" s="127" t="s">
        <v>54</v>
      </c>
      <c r="AC1" s="126" t="s">
        <v>64</v>
      </c>
      <c r="AE1" s="126" t="s">
        <v>63</v>
      </c>
      <c r="AF1" s="126" t="s">
        <v>73</v>
      </c>
    </row>
    <row r="2" spans="1:32" ht="13.5" customHeight="1">
      <c r="A2" s="122"/>
      <c r="B2" s="128"/>
      <c r="C2" s="128"/>
      <c r="G2" s="129" t="s">
        <v>59</v>
      </c>
      <c r="H2" s="130"/>
      <c r="I2" s="130"/>
      <c r="J2" s="124"/>
      <c r="M2" s="125" t="s">
        <v>62</v>
      </c>
      <c r="N2" s="131" t="s">
        <v>68</v>
      </c>
      <c r="O2" s="126">
        <v>1</v>
      </c>
      <c r="P2" s="126" t="s">
        <v>34</v>
      </c>
      <c r="R2" s="126" t="s">
        <v>77</v>
      </c>
      <c r="S2" s="127" t="s">
        <v>78</v>
      </c>
      <c r="T2" s="127" t="s">
        <v>79</v>
      </c>
      <c r="U2" s="127">
        <v>2</v>
      </c>
      <c r="V2" s="127" t="s">
        <v>34</v>
      </c>
      <c r="W2" s="127" t="s">
        <v>34</v>
      </c>
      <c r="X2" s="127" t="s">
        <v>37</v>
      </c>
      <c r="Y2" s="127" t="s">
        <v>78</v>
      </c>
      <c r="AC2" s="126"/>
      <c r="AE2" s="126"/>
    </row>
    <row r="3" spans="1:32">
      <c r="A3" s="122"/>
      <c r="B3" s="132"/>
      <c r="C3" s="133"/>
      <c r="D3" s="134" t="s">
        <v>38</v>
      </c>
      <c r="G3" s="135" t="s">
        <v>31</v>
      </c>
      <c r="H3" s="136" t="e">
        <f ca="1">[1]!blptoday()</f>
        <v>#NAME?</v>
      </c>
      <c r="I3" s="135" t="s">
        <v>25</v>
      </c>
      <c r="J3" s="137" t="e">
        <f ca="1">"CDR="&amp;J6</f>
        <v>#NAME?</v>
      </c>
      <c r="N3" s="131" t="s">
        <v>69</v>
      </c>
      <c r="O3" s="126">
        <v>2</v>
      </c>
      <c r="P3" s="126" t="s">
        <v>2</v>
      </c>
      <c r="R3" s="126" t="s">
        <v>38</v>
      </c>
      <c r="S3" s="127" t="s">
        <v>4</v>
      </c>
      <c r="T3" s="127" t="s">
        <v>41</v>
      </c>
      <c r="U3" s="127">
        <v>2</v>
      </c>
      <c r="V3" s="127" t="s">
        <v>34</v>
      </c>
      <c r="W3" s="127" t="s">
        <v>34</v>
      </c>
      <c r="X3" s="138" t="s">
        <v>37</v>
      </c>
      <c r="Y3" s="127" t="s">
        <v>4</v>
      </c>
      <c r="AC3" s="126" t="s">
        <v>45</v>
      </c>
      <c r="AE3" s="126" t="s">
        <v>56</v>
      </c>
      <c r="AF3" s="126">
        <v>1</v>
      </c>
    </row>
    <row r="4" spans="1:32">
      <c r="B4" s="282" t="s">
        <v>124</v>
      </c>
      <c r="C4" s="292"/>
      <c r="D4" s="134" t="s">
        <v>65</v>
      </c>
      <c r="G4" s="139" t="str">
        <f>"T+"&amp;INDEX($U$2:$U$3,MATCH($D$3,$R$2:$R$3,FALSE))</f>
        <v>T+2</v>
      </c>
      <c r="H4" s="140" t="e">
        <f ca="1">_xll.BAddPeriods($H$3,"Per=wd","NumberOfPeriods="&amp;RIGHT(G4,1),$J$3)</f>
        <v>#NAME?</v>
      </c>
      <c r="I4" s="139" t="s">
        <v>1</v>
      </c>
      <c r="J4" s="141" t="s">
        <v>33</v>
      </c>
      <c r="N4" s="131" t="s">
        <v>55</v>
      </c>
      <c r="O4" s="126">
        <v>4</v>
      </c>
      <c r="P4" s="142" t="s">
        <v>37</v>
      </c>
      <c r="R4" s="143" t="e">
        <f>RTD("bloomberg.ccyreader", "", "#track", "DBG", "XCLR", "1.1", 1)</f>
        <v>#N/A</v>
      </c>
      <c r="AC4" s="126" t="s">
        <v>65</v>
      </c>
      <c r="AE4" s="126" t="s">
        <v>35</v>
      </c>
      <c r="AF4" s="126">
        <v>5</v>
      </c>
    </row>
    <row r="5" spans="1:32">
      <c r="B5" s="282" t="s">
        <v>169</v>
      </c>
      <c r="C5" s="292"/>
      <c r="D5" s="134" t="s">
        <v>102</v>
      </c>
      <c r="G5" s="139" t="s">
        <v>44</v>
      </c>
      <c r="H5" s="68" t="str">
        <f>D4&amp;"/"&amp;D5</f>
        <v>CMPL/ICPL</v>
      </c>
      <c r="I5" s="139" t="s">
        <v>46</v>
      </c>
      <c r="J5" s="145" t="e">
        <f ca="1">_xll.BDP(D3&amp;" Curncy","BB_CRNCY_CODE")</f>
        <v>#NAME?</v>
      </c>
      <c r="N5" s="131" t="s">
        <v>70</v>
      </c>
      <c r="O5" s="126">
        <v>12</v>
      </c>
      <c r="AC5" s="126" t="s">
        <v>66</v>
      </c>
      <c r="AE5" s="126" t="s">
        <v>57</v>
      </c>
      <c r="AF5" s="126">
        <v>10</v>
      </c>
    </row>
    <row r="6" spans="1:32">
      <c r="A6" s="144">
        <f>D6*1000</f>
        <v>5000</v>
      </c>
      <c r="B6" s="299" t="s">
        <v>71</v>
      </c>
      <c r="C6" s="300"/>
      <c r="D6" s="134">
        <v>5</v>
      </c>
      <c r="E6" s="121" t="s">
        <v>72</v>
      </c>
      <c r="G6" s="146" t="s">
        <v>43</v>
      </c>
      <c r="H6" s="147" t="str">
        <f>INDEX($T$2:$T$3,MATCH($D$3,$R$2:$R$3,FALSE))</f>
        <v>ED</v>
      </c>
      <c r="I6" s="146" t="s">
        <v>76</v>
      </c>
      <c r="J6" s="147" t="e">
        <f ca="1">_xll.BDP(D3&amp;" Curncy","CALENDAR_CODE")</f>
        <v>#NAME?</v>
      </c>
      <c r="AC6" s="126" t="s">
        <v>102</v>
      </c>
      <c r="AF6" s="126">
        <v>60</v>
      </c>
    </row>
    <row r="7" spans="1:32" ht="13.5" customHeight="1">
      <c r="A7" s="124"/>
      <c r="B7" s="124"/>
      <c r="C7" s="124"/>
      <c r="D7" s="124"/>
      <c r="E7" s="124"/>
      <c r="F7" s="122"/>
      <c r="AC7" s="126" t="s">
        <v>67</v>
      </c>
    </row>
    <row r="8" spans="1:32" ht="13.5" customHeight="1">
      <c r="A8" s="148"/>
      <c r="B8" s="149"/>
      <c r="C8" s="150"/>
      <c r="D8" s="150"/>
      <c r="E8" s="150"/>
      <c r="F8" s="122"/>
      <c r="AC8" s="126"/>
    </row>
    <row r="9" spans="1:32" ht="13.5" customHeight="1">
      <c r="AC9" s="126"/>
    </row>
    <row r="10" spans="1:32" ht="13.5" customHeight="1">
      <c r="A10" s="151" t="s">
        <v>75</v>
      </c>
      <c r="B10" s="151"/>
      <c r="C10" s="152"/>
      <c r="D10" s="152"/>
      <c r="E10" s="152"/>
      <c r="F10" s="152"/>
      <c r="G10" s="152"/>
      <c r="H10" s="153"/>
      <c r="I10" s="153"/>
      <c r="J10" s="152"/>
      <c r="K10" s="152"/>
      <c r="L10" s="154"/>
    </row>
    <row r="11" spans="1:32">
      <c r="A11" s="155"/>
      <c r="B11" s="156"/>
      <c r="C11" s="156"/>
      <c r="D11" s="156" t="s">
        <v>57</v>
      </c>
      <c r="E11" s="156" t="s">
        <v>56</v>
      </c>
      <c r="F11" s="156" t="s">
        <v>35</v>
      </c>
      <c r="G11" s="157" t="s">
        <v>58</v>
      </c>
      <c r="H11" s="156" t="s">
        <v>60</v>
      </c>
      <c r="I11" s="156" t="s">
        <v>26</v>
      </c>
      <c r="J11" s="156" t="s">
        <v>32</v>
      </c>
      <c r="K11" s="157" t="s">
        <v>74</v>
      </c>
      <c r="L11" s="158"/>
    </row>
    <row r="12" spans="1:32">
      <c r="A12" s="304" t="s">
        <v>6</v>
      </c>
      <c r="B12" s="159" t="s">
        <v>51</v>
      </c>
      <c r="C12" s="160" t="e">
        <f ca="1">$J$5&amp;"DR1T " &amp;  $D$4 &amp;" Index"</f>
        <v>#NAME?</v>
      </c>
      <c r="D12" s="161" t="e">
        <f ca="1">IF(ISNUMBER(_xll.BDP(C12,$D$11,"UpdFreq="&amp;$A$6)),(_xll.BDP(C12,$D$11,"UpdFreq="&amp;$A$6)+G12)/100,(_xll.BDP(C12,"LAST PRICE","UpdFreq="&amp;$A$6)+G12)/100)</f>
        <v>#NAME?</v>
      </c>
      <c r="E12" s="161" t="e">
        <f ca="1">IF(ISNUMBER(_xll.BDP(C12,$E$11,"UpdFreq="&amp;$A$6)),(_xll.BDP(C12,$E$11,"UpdFreq="&amp;$A$6)+G12)/100,(_xll.BDP(C12,"LAST PRICE","UpdFreq="&amp;$A$6)+G12)/100)</f>
        <v>#NAME?</v>
      </c>
      <c r="F12" s="161" t="e">
        <f t="shared" ref="F12:F20" ca="1" si="0">AVERAGE(D12,E12)</f>
        <v>#NAME?</v>
      </c>
      <c r="G12" s="162"/>
      <c r="H12" s="163">
        <f t="shared" ref="H12:H17" si="1">VALUE(LEFT(B12,1))</f>
        <v>1</v>
      </c>
      <c r="I12" s="163" t="s">
        <v>27</v>
      </c>
      <c r="J12" s="164" t="e">
        <f ca="1">$H$3</f>
        <v>#NAME?</v>
      </c>
      <c r="K12" s="165" t="e">
        <f ca="1">_xll.BAddPeriods($J12,"Per="&amp;I12,"NumberOfPeriods="&amp;H12,$J$3,$J$4)</f>
        <v>#NAME?</v>
      </c>
      <c r="L12" s="166"/>
    </row>
    <row r="13" spans="1:32">
      <c r="A13" s="305"/>
      <c r="B13" s="167" t="s">
        <v>97</v>
      </c>
      <c r="C13" s="168" t="e">
        <f ca="1">$J$5&amp;"DR3T " &amp;  $D$4 &amp;" Index"</f>
        <v>#NAME?</v>
      </c>
      <c r="D13" s="169" t="e">
        <f ca="1">IF(ISNUMBER(_xll.BDP(C13,$D$11,"UpdFreq="&amp;$A$6)),(_xll.BDP(C13,$D$11,"UpdFreq="&amp;$A$6)+G13)/100,(_xll.BDP(C13,"LAST PRICE","UpdFreq="&amp;$A$6)+G13)/100)</f>
        <v>#NAME?</v>
      </c>
      <c r="E13" s="169" t="e">
        <f ca="1">IF(ISNUMBER(_xll.BDP(C13,$E$11,"UpdFreq="&amp;$A$6)),(_xll.BDP(C13,$E$11,"UpdFreq="&amp;$A$6)+G13)/100,(_xll.BDP(C13,"LAST PRICE","UpdFreq="&amp;$A$6)+G13)/100)</f>
        <v>#NAME?</v>
      </c>
      <c r="F13" s="169" t="e">
        <f t="shared" ca="1" si="0"/>
        <v>#NAME?</v>
      </c>
      <c r="G13" s="170"/>
      <c r="H13" s="171">
        <f t="shared" si="1"/>
        <v>1</v>
      </c>
      <c r="I13" s="171" t="s">
        <v>27</v>
      </c>
      <c r="J13" s="172" t="e">
        <f t="shared" ref="J13:J20" ca="1" si="2">$H$4</f>
        <v>#NAME?</v>
      </c>
      <c r="K13" s="173" t="e">
        <f ca="1">_xll.BAddPeriods($J13,"Per="&amp;I13,"NumberOfPeriods="&amp;H13,$J$3,$J$4)</f>
        <v>#NAME?</v>
      </c>
      <c r="L13" s="166"/>
    </row>
    <row r="14" spans="1:32" ht="12.75" customHeight="1">
      <c r="A14" s="305"/>
      <c r="B14" s="167" t="s">
        <v>47</v>
      </c>
      <c r="C14" s="168" t="s">
        <v>170</v>
      </c>
      <c r="D14" s="169" t="e">
        <f ca="1">IF(ISNUMBER(_xll.BDP(C14,$D$11,"UpdFreq="&amp;$A$6)),(_xll.BDP(C14,$D$11,"UpdFreq="&amp;$A$6)+G14)/100,(_xll.BDP(C14,"LAST PRICE","UpdFreq="&amp;$A$6)+G14)/100)</f>
        <v>#NAME?</v>
      </c>
      <c r="E14" s="169" t="e">
        <f ca="1">IF(ISNUMBER(_xll.BDP(C14,$E$11,"UpdFreq="&amp;$A$6)),(_xll.BDP(C14,$E$11,"UpdFreq="&amp;$A$6)+G14)/100,(_xll.BDP(C14,"LAST PRICE","UpdFreq="&amp;$A$6)+G14)/100)</f>
        <v>#NAME?</v>
      </c>
      <c r="F14" s="169" t="e">
        <f t="shared" ca="1" si="0"/>
        <v>#NAME?</v>
      </c>
      <c r="G14" s="174"/>
      <c r="H14" s="171">
        <f t="shared" si="1"/>
        <v>1</v>
      </c>
      <c r="I14" s="171" t="s">
        <v>28</v>
      </c>
      <c r="J14" s="172" t="e">
        <f t="shared" ca="1" si="2"/>
        <v>#NAME?</v>
      </c>
      <c r="K14" s="173" t="e">
        <f ca="1">_xll.BAddPeriods($J14,"Per="&amp;I14,"NumberOfPeriods="&amp;H14,$J$3,$J$4)</f>
        <v>#NAME?</v>
      </c>
      <c r="L14" s="166"/>
    </row>
    <row r="15" spans="1:32">
      <c r="A15" s="305"/>
      <c r="B15" s="167" t="s">
        <v>48</v>
      </c>
      <c r="C15" s="168" t="s">
        <v>171</v>
      </c>
      <c r="D15" s="169" t="e">
        <f ca="1">IF(ISNUMBER(_xll.BDP(C15,$D$11,"UpdFreq="&amp;$A$6)),(_xll.BDP(C15,$D$11,"UpdFreq="&amp;$A$6)+G15)/100,(_xll.BDP(C15,"LAST PRICE","UpdFreq="&amp;$A$6)+G15)/100)</f>
        <v>#NAME?</v>
      </c>
      <c r="E15" s="169" t="e">
        <f ca="1">IF(ISNUMBER(_xll.BDP(C15,$E$11,"UpdFreq="&amp;$A$6)),(_xll.BDP(C15,$E$11,"UpdFreq="&amp;$A$6)+G15)/100,(_xll.BDP(C15,"LAST PRICE","UpdFreq="&amp;$A$6)+G15)/100)</f>
        <v>#NAME?</v>
      </c>
      <c r="F15" s="169" t="e">
        <f t="shared" ca="1" si="0"/>
        <v>#NAME?</v>
      </c>
      <c r="G15" s="174"/>
      <c r="H15" s="171">
        <f t="shared" si="1"/>
        <v>1</v>
      </c>
      <c r="I15" s="171" t="s">
        <v>29</v>
      </c>
      <c r="J15" s="172" t="e">
        <f t="shared" ca="1" si="2"/>
        <v>#NAME?</v>
      </c>
      <c r="K15" s="173" t="e">
        <f ca="1">_xll.BAddPeriods($J15,"Per="&amp;I15,"NumberOfPeriods="&amp;H15,$J$3,$J$4)</f>
        <v>#NAME?</v>
      </c>
      <c r="L15" s="166"/>
    </row>
    <row r="16" spans="1:32">
      <c r="A16" s="305"/>
      <c r="B16" s="167" t="s">
        <v>49</v>
      </c>
      <c r="C16" s="168" t="s">
        <v>172</v>
      </c>
      <c r="D16" s="169" t="e">
        <f ca="1">IF(ISNUMBER(_xll.BDP(C16,$D$11,"UpdFreq="&amp;$A$6)),(_xll.BDP(C16,$D$11,"UpdFreq="&amp;$A$6)+G16)/100,(_xll.BDP(C16,"LAST PRICE","UpdFreq="&amp;$A$6)+G16)/100)</f>
        <v>#NAME?</v>
      </c>
      <c r="E16" s="169" t="e">
        <f ca="1">IF(ISNUMBER(_xll.BDP(C16,$E$11,"UpdFreq="&amp;$A$6)),(_xll.BDP(C16,$E$11,"UpdFreq="&amp;$A$6)+G16)/100,(_xll.BDP(C16,"LAST PRICE","UpdFreq="&amp;$A$6)+G16)/100)</f>
        <v>#NAME?</v>
      </c>
      <c r="F16" s="169" t="e">
        <f t="shared" ca="1" si="0"/>
        <v>#NAME?</v>
      </c>
      <c r="G16" s="174"/>
      <c r="H16" s="171">
        <f t="shared" si="1"/>
        <v>2</v>
      </c>
      <c r="I16" s="171" t="s">
        <v>29</v>
      </c>
      <c r="J16" s="172" t="e">
        <f t="shared" ca="1" si="2"/>
        <v>#NAME?</v>
      </c>
      <c r="K16" s="173" t="e">
        <f ca="1">_xll.BAddPeriods($J16,"Per="&amp;I16,"NumberOfPeriods="&amp;H16,$J$3,$J$4)</f>
        <v>#NAME?</v>
      </c>
      <c r="L16" s="166"/>
    </row>
    <row r="17" spans="1:12">
      <c r="A17" s="305"/>
      <c r="B17" s="167" t="s">
        <v>50</v>
      </c>
      <c r="C17" s="168" t="s">
        <v>126</v>
      </c>
      <c r="D17" s="169" t="e">
        <f ca="1">IF(ISNUMBER(_xll.BDP(C17,$D$11,"UpdFreq="&amp;$A$6)),(_xll.BDP(C17,$D$11,"UpdFreq="&amp;$A$6)+G17)/100,(_xll.BDP(C17,"LAST PRICE","UpdFreq="&amp;$A$6)+G17)/100)</f>
        <v>#NAME?</v>
      </c>
      <c r="E17" s="169" t="e">
        <f ca="1">IF(ISNUMBER(_xll.BDP(C17,$E$11,"UpdFreq="&amp;$A$6)),(_xll.BDP(C17,$E$11,"UpdFreq="&amp;$A$6)+G17)/100,(_xll.BDP(C17,"LAST PRICE","UpdFreq="&amp;$A$6)+G17)/100)</f>
        <v>#NAME?</v>
      </c>
      <c r="F17" s="169" t="e">
        <f t="shared" ca="1" si="0"/>
        <v>#NAME?</v>
      </c>
      <c r="G17" s="174"/>
      <c r="H17" s="171">
        <f t="shared" si="1"/>
        <v>3</v>
      </c>
      <c r="I17" s="171" t="s">
        <v>29</v>
      </c>
      <c r="J17" s="172" t="e">
        <f t="shared" ca="1" si="2"/>
        <v>#NAME?</v>
      </c>
      <c r="K17" s="173" t="e">
        <f ca="1">_xll.BAddPeriods($J17,"Per="&amp;I17,"NumberOfPeriods="&amp;H17,$J$3,$J$4)</f>
        <v>#NAME?</v>
      </c>
      <c r="L17" s="166"/>
    </row>
    <row r="18" spans="1:12">
      <c r="A18" s="306"/>
      <c r="B18" s="167" t="s">
        <v>82</v>
      </c>
      <c r="C18" s="168" t="s">
        <v>173</v>
      </c>
      <c r="D18" s="169" t="e">
        <f ca="1">IF(ISNUMBER(_xll.BDP(C18,$D$11,"UpdFreq="&amp;$A$6)),(_xll.BDP(C18,$D$11,"UpdFreq="&amp;$A$6)+G18)/100,(_xll.BDP(C18,"LAST PRICE","UpdFreq="&amp;$A$6)+G18)/100)</f>
        <v>#NAME?</v>
      </c>
      <c r="E18" s="169" t="e">
        <f ca="1">IF(ISNUMBER(_xll.BDP(C18,$E$11,"UpdFreq="&amp;$A$6)),(_xll.BDP(C18,$E$11,"UpdFreq="&amp;$A$6)+G18)/100,(_xll.BDP(C18,"LAST PRICE","UpdFreq="&amp;$A$6)+G18)/100)</f>
        <v>#NAME?</v>
      </c>
      <c r="F18" s="169" t="e">
        <f t="shared" ca="1" si="0"/>
        <v>#NAME?</v>
      </c>
      <c r="G18" s="175"/>
      <c r="H18" s="171">
        <v>4</v>
      </c>
      <c r="I18" s="171" t="s">
        <v>29</v>
      </c>
      <c r="J18" s="172" t="e">
        <f t="shared" ca="1" si="2"/>
        <v>#NAME?</v>
      </c>
      <c r="K18" s="173" t="e">
        <f ca="1">_xll.BAddPeriods($J18,"Per="&amp;I18,"NumberOfPeriods="&amp;H18,$J$3,$J$4)</f>
        <v>#NAME?</v>
      </c>
      <c r="L18" s="176"/>
    </row>
    <row r="19" spans="1:12">
      <c r="A19" s="306"/>
      <c r="B19" s="167" t="s">
        <v>83</v>
      </c>
      <c r="C19" s="168" t="s">
        <v>174</v>
      </c>
      <c r="D19" s="169" t="e">
        <f ca="1">IF(ISNUMBER(_xll.BDP(C19,$D$11,"UpdFreq="&amp;$A$6)),(_xll.BDP(C19,$D$11,"UpdFreq="&amp;$A$6)+G19)/100,(_xll.BDP(C19,"LAST PRICE","UpdFreq="&amp;$A$6)+G19)/100)</f>
        <v>#NAME?</v>
      </c>
      <c r="E19" s="169" t="e">
        <f ca="1">IF(ISNUMBER(_xll.BDP(C19,$E$11,"UpdFreq="&amp;$A$6)),(_xll.BDP(C19,$E$11,"UpdFreq="&amp;$A$6)+G19)/100,(_xll.BDP(C19,"LAST PRICE","UpdFreq="&amp;$A$6)+G19)/100)</f>
        <v>#NAME?</v>
      </c>
      <c r="F19" s="169" t="e">
        <f t="shared" ca="1" si="0"/>
        <v>#NAME?</v>
      </c>
      <c r="G19" s="175"/>
      <c r="H19" s="171">
        <v>5</v>
      </c>
      <c r="I19" s="171" t="s">
        <v>29</v>
      </c>
      <c r="J19" s="172" t="e">
        <f t="shared" ca="1" si="2"/>
        <v>#NAME?</v>
      </c>
      <c r="K19" s="173" t="e">
        <f ca="1">_xll.BAddPeriods($J19,"Per="&amp;I19,"NumberOfPeriods="&amp;H19,$J$3,$J$4)</f>
        <v>#NAME?</v>
      </c>
      <c r="L19" s="176"/>
    </row>
    <row r="20" spans="1:12">
      <c r="A20" s="306"/>
      <c r="B20" s="177" t="s">
        <v>84</v>
      </c>
      <c r="C20" s="168" t="s">
        <v>128</v>
      </c>
      <c r="D20" s="179" t="e">
        <f ca="1">IF(ISNUMBER(_xll.BDP(C20,$D$11,"UpdFreq="&amp;$A$6)),(_xll.BDP(C20,$D$11,"UpdFreq="&amp;$A$6)+G20)/100,(_xll.BDP(C20,"LAST PRICE","UpdFreq="&amp;$A$6)+G20)/100)</f>
        <v>#NAME?</v>
      </c>
      <c r="E20" s="179" t="e">
        <f ca="1">IF(ISNUMBER(_xll.BDP(C20,$E$11,"UpdFreq="&amp;$A$6)),(_xll.BDP(C20,$E$11,"UpdFreq="&amp;$A$6)+G20)/100,(_xll.BDP(C20,"LAST PRICE","UpdFreq="&amp;$A$6)+G20)/100)</f>
        <v>#NAME?</v>
      </c>
      <c r="F20" s="179" t="e">
        <f t="shared" ca="1" si="0"/>
        <v>#NAME?</v>
      </c>
      <c r="G20" s="175"/>
      <c r="H20" s="180">
        <v>6</v>
      </c>
      <c r="I20" s="180" t="s">
        <v>29</v>
      </c>
      <c r="J20" s="181" t="e">
        <f t="shared" ca="1" si="2"/>
        <v>#NAME?</v>
      </c>
      <c r="K20" s="182" t="e">
        <f ca="1">_xll.BAddPeriods($J20,"Per="&amp;I20,"NumberOfPeriods="&amp;H20,$J$3,$J$4)</f>
        <v>#NAME?</v>
      </c>
      <c r="L20" s="176"/>
    </row>
    <row r="21" spans="1:12">
      <c r="A21" s="301" t="s">
        <v>99</v>
      </c>
      <c r="B21" s="183" t="s">
        <v>109</v>
      </c>
      <c r="C21" s="183" t="e">
        <f ca="1">$J$5&amp;"FR0AG "&amp;  $D$4 &amp;" Index"</f>
        <v>#NAME?</v>
      </c>
      <c r="D21" s="184" t="e">
        <f ca="1">IF(ISNUMBER(_xll.BDP($C21,D$11,"UpdFreq="&amp;$A$6)),(_xll.BDP($C21,D$11,"UpdFreq="&amp;$A$6)+$G21)/100,(_xll.BDP($C21,"LAST PRICE","UpdFreq="&amp;$A$6)+$G21)/100)</f>
        <v>#NAME?</v>
      </c>
      <c r="E21" s="184" t="e">
        <f ca="1">IF(ISNUMBER(_xll.BDP($C21,E$11,"UpdFreq="&amp;$A$6)),(_xll.BDP($C21,E$11,"UpdFreq="&amp;$A$6)+$G21)/100,(_xll.BDP($C21,"LAST PRICE","UpdFreq="&amp;$A$6)+$G21)/100)</f>
        <v>#NAME?</v>
      </c>
      <c r="F21" s="184" t="e">
        <f ca="1">IF(ISNUMBER(_xll.BDP($C21,F$11,"UpdFreq="&amp;$A$6)),(_xll.BDP($C21,F$11,"UpdFreq="&amp;$A$6)+$G21)/100,(_xll.BDP($C21,"LAST PRICE","UpdFreq="&amp;$A$6)+$G21)/100)</f>
        <v>#NAME?</v>
      </c>
      <c r="G21" s="175"/>
      <c r="H21" s="185">
        <f>VALUE(LEFT(B21,1))</f>
        <v>1</v>
      </c>
      <c r="I21" s="185" t="s">
        <v>29</v>
      </c>
      <c r="J21" s="186" t="e">
        <f ca="1">_xll.BAddPeriods($H$4,"Per="&amp;I21,"NumberOfPeriods="&amp;H21,$J$3,$J$4)</f>
        <v>#NAME?</v>
      </c>
      <c r="K21" s="187" t="e">
        <f ca="1">_xll.BAddPeriods($J21,"Per="&amp;I21,"NumberOfPeriods="&amp;6,$J$3,$J$4)</f>
        <v>#NAME?</v>
      </c>
      <c r="L21" s="176"/>
    </row>
    <row r="22" spans="1:12">
      <c r="A22" s="301"/>
      <c r="B22" s="188" t="s">
        <v>110</v>
      </c>
      <c r="C22" s="188" t="e">
        <f ca="1">$J$5&amp;"FR0BH "&amp;  $D$4 &amp;" Index"</f>
        <v>#NAME?</v>
      </c>
      <c r="D22" s="189" t="e">
        <f ca="1">IF(ISNUMBER(_xll.BDP($C22,D$11,"UpdFreq="&amp;$A$6)),(_xll.BDP($C22,D$11,"UpdFreq="&amp;$A$6)+$G22)/100,(_xll.BDP($C22,"LAST PRICE","UpdFreq="&amp;$A$6)+$G22)/100)</f>
        <v>#NAME?</v>
      </c>
      <c r="E22" s="189" t="e">
        <f ca="1">IF(ISNUMBER(_xll.BDP($C22,E$11,"UpdFreq="&amp;$A$6)),(_xll.BDP($C22,E$11,"UpdFreq="&amp;$A$6)+$G22)/100,(_xll.BDP($C22,"LAST PRICE","UpdFreq="&amp;$A$6)+$G22)/100)</f>
        <v>#NAME?</v>
      </c>
      <c r="F22" s="189" t="e">
        <f ca="1">IF(ISNUMBER(_xll.BDP($C22,F$11,"UpdFreq="&amp;$A$6)),(_xll.BDP($C22,F$11,"UpdFreq="&amp;$A$6)+$G22)/100,(_xll.BDP($C22,"LAST PRICE","UpdFreq="&amp;$A$6)+$G22)/100)</f>
        <v>#NAME?</v>
      </c>
      <c r="G22" s="175"/>
      <c r="H22" s="190">
        <f>VALUE(LEFT(B22,1))</f>
        <v>2</v>
      </c>
      <c r="I22" s="190" t="s">
        <v>29</v>
      </c>
      <c r="J22" s="191" t="e">
        <f ca="1">_xll.BAddPeriods($H$4,"Per="&amp;I22,"NumberOfPeriods="&amp;H22,$J$3,$J$4)</f>
        <v>#NAME?</v>
      </c>
      <c r="K22" s="192" t="e">
        <f ca="1">_xll.BAddPeriods($J22,"Per="&amp;I22,"NumberOfPeriods="&amp;6,$J$3,$J$4)</f>
        <v>#NAME?</v>
      </c>
      <c r="L22" s="176"/>
    </row>
    <row r="23" spans="1:12">
      <c r="A23" s="301"/>
      <c r="B23" s="188" t="s">
        <v>111</v>
      </c>
      <c r="C23" s="188" t="e">
        <f ca="1">$J$5&amp;"FR0CI "&amp;  $D$4 &amp;" Index"</f>
        <v>#NAME?</v>
      </c>
      <c r="D23" s="189" t="e">
        <f ca="1">IF(ISNUMBER(_xll.BDP($C23,D$11,"UpdFreq="&amp;$A$6)),(_xll.BDP($C23,D$11,"UpdFreq="&amp;$A$6)+$G23)/100,(_xll.BDP($C23,"LAST PRICE","UpdFreq="&amp;$A$6)+$G23)/100)</f>
        <v>#NAME?</v>
      </c>
      <c r="E23" s="189" t="e">
        <f ca="1">IF(ISNUMBER(_xll.BDP($C23,E$11,"UpdFreq="&amp;$A$6)),(_xll.BDP($C23,E$11,"UpdFreq="&amp;$A$6)+$G23)/100,(_xll.BDP($C23,"LAST PRICE","UpdFreq="&amp;$A$6)+$G23)/100)</f>
        <v>#NAME?</v>
      </c>
      <c r="F23" s="189" t="e">
        <f ca="1">IF(ISNUMBER(_xll.BDP($C23,F$11,"UpdFreq="&amp;$A$6)),(_xll.BDP($C23,F$11,"UpdFreq="&amp;$A$6)+$G23)/100,(_xll.BDP($C23,"LAST PRICE","UpdFreq="&amp;$A$6)+$G23)/100)</f>
        <v>#NAME?</v>
      </c>
      <c r="G23" s="175"/>
      <c r="H23" s="190">
        <f>VALUE(LEFT(B23,1))</f>
        <v>3</v>
      </c>
      <c r="I23" s="190" t="s">
        <v>29</v>
      </c>
      <c r="J23" s="191" t="e">
        <f ca="1">_xll.BAddPeriods($H$4,"Per="&amp;I23,"NumberOfPeriods="&amp;H23,$J$3,$J$4)</f>
        <v>#NAME?</v>
      </c>
      <c r="K23" s="192" t="e">
        <f ca="1">_xll.BAddPeriods($J23,"Per="&amp;I23,"NumberOfPeriods="&amp;6,$J$3,$J$4)</f>
        <v>#NAME?</v>
      </c>
      <c r="L23" s="176"/>
    </row>
    <row r="24" spans="1:12">
      <c r="A24" s="302"/>
      <c r="B24" s="188" t="s">
        <v>112</v>
      </c>
      <c r="C24" s="188" t="e">
        <f ca="1">$J$5&amp;"FR0DJ "&amp;  $D$4 &amp;" Index"</f>
        <v>#NAME?</v>
      </c>
      <c r="D24" s="189" t="e">
        <f ca="1">IF(ISNUMBER(_xll.BDP($C24,D$11,"UpdFreq="&amp;$A$6)),(_xll.BDP($C24,D$11,"UpdFreq="&amp;$A$6)+$G24)/100,(_xll.BDP($C24,"LAST PRICE","UpdFreq="&amp;$A$6)+$G24)/100)</f>
        <v>#NAME?</v>
      </c>
      <c r="E24" s="189" t="e">
        <f ca="1">IF(ISNUMBER(_xll.BDP($C24,E$11,"UpdFreq="&amp;$A$6)),(_xll.BDP($C24,E$11,"UpdFreq="&amp;$A$6)+$G24)/100,(_xll.BDP($C24,"LAST PRICE","UpdFreq="&amp;$A$6)+$G24)/100)</f>
        <v>#NAME?</v>
      </c>
      <c r="F24" s="189" t="e">
        <f ca="1">IF(ISNUMBER(_xll.BDP($C24,F$11,"UpdFreq="&amp;$A$6)),(_xll.BDP($C24,F$11,"UpdFreq="&amp;$A$6)+$G24)/100,(_xll.BDP($C24,"LAST PRICE","UpdFreq="&amp;$A$6)+$G24)/100)</f>
        <v>#NAME?</v>
      </c>
      <c r="G24" s="175"/>
      <c r="H24" s="190">
        <v>4</v>
      </c>
      <c r="I24" s="190" t="s">
        <v>29</v>
      </c>
      <c r="J24" s="191" t="e">
        <f ca="1">_xll.BAddPeriods($H$4,"Per="&amp;I24,"NumberOfPeriods="&amp;H24,$J$3,$J$4)</f>
        <v>#NAME?</v>
      </c>
      <c r="K24" s="192" t="e">
        <f ca="1">_xll.BAddPeriods($J24,"Per="&amp;I24,"NumberOfPeriods="&amp;6,$J$3,$J$4)</f>
        <v>#NAME?</v>
      </c>
      <c r="L24" s="176"/>
    </row>
    <row r="25" spans="1:12">
      <c r="A25" s="302"/>
      <c r="B25" s="188" t="s">
        <v>113</v>
      </c>
      <c r="C25" s="188" t="e">
        <f ca="1">$J$5&amp;"FR0EK "&amp;  $D$4 &amp;" Index"</f>
        <v>#NAME?</v>
      </c>
      <c r="D25" s="189" t="e">
        <f ca="1">IF(ISNUMBER(_xll.BDP($C25,D$11,"UpdFreq="&amp;$A$6)),(_xll.BDP($C25,D$11,"UpdFreq="&amp;$A$6)+$G25)/100,(_xll.BDP($C25,"LAST PRICE","UpdFreq="&amp;$A$6)+$G25)/100)</f>
        <v>#NAME?</v>
      </c>
      <c r="E25" s="189" t="e">
        <f ca="1">IF(ISNUMBER(_xll.BDP($C25,E$11,"UpdFreq="&amp;$A$6)),(_xll.BDP($C25,E$11,"UpdFreq="&amp;$A$6)+$G25)/100,(_xll.BDP($C25,"LAST PRICE","UpdFreq="&amp;$A$6)+$G25)/100)</f>
        <v>#NAME?</v>
      </c>
      <c r="F25" s="189" t="e">
        <f ca="1">IF(ISNUMBER(_xll.BDP($C25,F$11,"UpdFreq="&amp;$A$6)),(_xll.BDP($C25,F$11,"UpdFreq="&amp;$A$6)+$G25)/100,(_xll.BDP($C25,"LAST PRICE","UpdFreq="&amp;$A$6)+$G25)/100)</f>
        <v>#NAME?</v>
      </c>
      <c r="G25" s="175"/>
      <c r="H25" s="190">
        <v>5</v>
      </c>
      <c r="I25" s="190" t="s">
        <v>29</v>
      </c>
      <c r="J25" s="191" t="e">
        <f ca="1">_xll.BAddPeriods($H$4,"Per="&amp;I25,"NumberOfPeriods="&amp;H25,$J$3,$J$4)</f>
        <v>#NAME?</v>
      </c>
      <c r="K25" s="192" t="e">
        <f ca="1">_xll.BAddPeriods($J25,"Per="&amp;I25,"NumberOfPeriods="&amp;6,$J$3,$J$4)</f>
        <v>#NAME?</v>
      </c>
      <c r="L25" s="176"/>
    </row>
    <row r="26" spans="1:12">
      <c r="A26" s="302"/>
      <c r="B26" s="188" t="s">
        <v>114</v>
      </c>
      <c r="C26" s="188" t="e">
        <f ca="1">$J$5&amp;"FR0F1 "&amp;  $D$4 &amp;" Index"</f>
        <v>#NAME?</v>
      </c>
      <c r="D26" s="189" t="e">
        <f ca="1">IF(ISNUMBER(_xll.BDP($C26,D$11,"UpdFreq="&amp;$A$6)),(_xll.BDP($C26,D$11,"UpdFreq="&amp;$A$6)+$G26)/100,(_xll.BDP($C26,"LAST PRICE","UpdFreq="&amp;$A$6)+$G26)/100)</f>
        <v>#NAME?</v>
      </c>
      <c r="E26" s="189" t="e">
        <f ca="1">IF(ISNUMBER(_xll.BDP($C26,E$11,"UpdFreq="&amp;$A$6)),(_xll.BDP($C26,E$11,"UpdFreq="&amp;$A$6)+$G26)/100,(_xll.BDP($C26,"LAST PRICE","UpdFreq="&amp;$A$6)+$G26)/100)</f>
        <v>#NAME?</v>
      </c>
      <c r="F26" s="189" t="e">
        <f ca="1">IF(ISNUMBER(_xll.BDP($C26,F$11,"UpdFreq="&amp;$A$6)),(_xll.BDP($C26,F$11,"UpdFreq="&amp;$A$6)+$G26)/100,(_xll.BDP($C26,"LAST PRICE","UpdFreq="&amp;$A$6)+$G26)/100)</f>
        <v>#NAME?</v>
      </c>
      <c r="G26" s="175"/>
      <c r="H26" s="190">
        <v>6</v>
      </c>
      <c r="I26" s="190" t="s">
        <v>29</v>
      </c>
      <c r="J26" s="191" t="e">
        <f ca="1">_xll.BAddPeriods($H$4,"Per="&amp;I26,"NumberOfPeriods="&amp;H26,$J$3,$J$4)</f>
        <v>#NAME?</v>
      </c>
      <c r="K26" s="192" t="e">
        <f ca="1">_xll.BAddPeriods($J26,"Per="&amp;I26,"NumberOfPeriods="&amp;6,$J$3,$J$4)</f>
        <v>#NAME?</v>
      </c>
      <c r="L26" s="176"/>
    </row>
    <row r="27" spans="1:12">
      <c r="A27" s="302"/>
      <c r="B27" s="188" t="s">
        <v>115</v>
      </c>
      <c r="C27" s="188" t="e">
        <f ca="1">$J$5&amp;"FR0G1A "&amp;  $D$4 &amp;" Index"</f>
        <v>#NAME?</v>
      </c>
      <c r="D27" s="189" t="e">
        <f ca="1">IF(ISNUMBER(_xll.BDP($C27,D$11,"UpdFreq="&amp;$A$6)),(_xll.BDP($C27,D$11,"UpdFreq="&amp;$A$6)+$G27)/100,(_xll.BDP($C27,"LAST PRICE","UpdFreq="&amp;$A$6)+$G27)/100)</f>
        <v>#NAME?</v>
      </c>
      <c r="E27" s="189" t="e">
        <f ca="1">IF(ISNUMBER(_xll.BDP($C27,E$11,"UpdFreq="&amp;$A$6)),(_xll.BDP($C27,E$11,"UpdFreq="&amp;$A$6)+$G27)/100,(_xll.BDP($C27,"LAST PRICE","UpdFreq="&amp;$A$6)+$G27)/100)</f>
        <v>#NAME?</v>
      </c>
      <c r="F27" s="189" t="e">
        <f ca="1">IF(ISNUMBER(_xll.BDP($C27,F$11,"UpdFreq="&amp;$A$6)),(_xll.BDP($C27,F$11,"UpdFreq="&amp;$A$6)+$G27)/100,(_xll.BDP($C27,"LAST PRICE","UpdFreq="&amp;$A$6)+$G27)/100)</f>
        <v>#NAME?</v>
      </c>
      <c r="G27" s="175"/>
      <c r="H27" s="190">
        <v>7</v>
      </c>
      <c r="I27" s="190" t="s">
        <v>29</v>
      </c>
      <c r="J27" s="191" t="e">
        <f ca="1">_xll.BAddPeriods($H$4,"Per="&amp;I27,"NumberOfPeriods="&amp;H27,$J$3,$J$4)</f>
        <v>#NAME?</v>
      </c>
      <c r="K27" s="192" t="e">
        <f ca="1">_xll.BAddPeriods($J27,"Per="&amp;I27,"NumberOfPeriods="&amp;6,$J$3,$J$4)</f>
        <v>#NAME?</v>
      </c>
      <c r="L27" s="176"/>
    </row>
    <row r="28" spans="1:12">
      <c r="A28" s="302"/>
      <c r="B28" s="188" t="s">
        <v>116</v>
      </c>
      <c r="C28" s="188" t="e">
        <f ca="1">$J$5&amp;"FR0H1B "&amp;  $D$4 &amp;" Index"</f>
        <v>#NAME?</v>
      </c>
      <c r="D28" s="189" t="e">
        <f ca="1">IF(ISNUMBER(_xll.BDP($C28,D$11,"UpdFreq="&amp;$A$6)),(_xll.BDP($C28,D$11,"UpdFreq="&amp;$A$6)+$G28)/100,(_xll.BDP($C28,"LAST PRICE","UpdFreq="&amp;$A$6)+$G28)/100)</f>
        <v>#NAME?</v>
      </c>
      <c r="E28" s="189" t="e">
        <f ca="1">IF(ISNUMBER(_xll.BDP($C28,E$11,"UpdFreq="&amp;$A$6)),(_xll.BDP($C28,E$11,"UpdFreq="&amp;$A$6)+$G28)/100,(_xll.BDP($C28,"LAST PRICE","UpdFreq="&amp;$A$6)+$G28)/100)</f>
        <v>#NAME?</v>
      </c>
      <c r="F28" s="189" t="e">
        <f ca="1">IF(ISNUMBER(_xll.BDP($C28,F$11,"UpdFreq="&amp;$A$6)),(_xll.BDP($C28,F$11,"UpdFreq="&amp;$A$6)+$G28)/100,(_xll.BDP($C28,"LAST PRICE","UpdFreq="&amp;$A$6)+$G28)/100)</f>
        <v>#NAME?</v>
      </c>
      <c r="G28" s="175"/>
      <c r="H28" s="190">
        <v>8</v>
      </c>
      <c r="I28" s="190" t="s">
        <v>29</v>
      </c>
      <c r="J28" s="191" t="e">
        <f ca="1">_xll.BAddPeriods($H$4,"Per="&amp;I28,"NumberOfPeriods="&amp;H28,$J$3,$J$4)</f>
        <v>#NAME?</v>
      </c>
      <c r="K28" s="192" t="e">
        <f ca="1">_xll.BAddPeriods($J28,"Per="&amp;I28,"NumberOfPeriods="&amp;6,$J$3,$J$4)</f>
        <v>#NAME?</v>
      </c>
      <c r="L28" s="176"/>
    </row>
    <row r="29" spans="1:12">
      <c r="A29" s="302"/>
      <c r="B29" s="188" t="s">
        <v>117</v>
      </c>
      <c r="C29" s="188" t="e">
        <f ca="1">$J$5&amp;"FR0I1C "&amp;  $D$4 &amp;" Index"</f>
        <v>#NAME?</v>
      </c>
      <c r="D29" s="189" t="e">
        <f ca="1">IF(ISNUMBER(_xll.BDP($C29,D$11,"UpdFreq="&amp;$A$6)),(_xll.BDP($C29,D$11,"UpdFreq="&amp;$A$6)+$G29)/100,(_xll.BDP($C29,"LAST PRICE","UpdFreq="&amp;$A$6)+$G29)/100)</f>
        <v>#NAME?</v>
      </c>
      <c r="E29" s="189" t="e">
        <f ca="1">IF(ISNUMBER(_xll.BDP($C29,E$11,"UpdFreq="&amp;$A$6)),(_xll.BDP($C29,E$11,"UpdFreq="&amp;$A$6)+$G29)/100,(_xll.BDP($C29,"LAST PRICE","UpdFreq="&amp;$A$6)+$G29)/100)</f>
        <v>#NAME?</v>
      </c>
      <c r="F29" s="189" t="e">
        <f ca="1">IF(ISNUMBER(_xll.BDP($C29,F$11,"UpdFreq="&amp;$A$6)),(_xll.BDP($C29,F$11,"UpdFreq="&amp;$A$6)+$G29)/100,(_xll.BDP($C29,"LAST PRICE","UpdFreq="&amp;$A$6)+$G29)/100)</f>
        <v>#NAME?</v>
      </c>
      <c r="G29" s="175"/>
      <c r="H29" s="190">
        <v>9</v>
      </c>
      <c r="I29" s="190" t="s">
        <v>29</v>
      </c>
      <c r="J29" s="191" t="e">
        <f ca="1">_xll.BAddPeriods($H$4,"Per="&amp;I29,"NumberOfPeriods="&amp;H29,$J$3,$J$4)</f>
        <v>#NAME?</v>
      </c>
      <c r="K29" s="192" t="e">
        <f ca="1">_xll.BAddPeriods($J29,"Per="&amp;I29,"NumberOfPeriods="&amp;6,$J$3,$J$4)</f>
        <v>#NAME?</v>
      </c>
      <c r="L29" s="176"/>
    </row>
    <row r="30" spans="1:12">
      <c r="A30" s="302"/>
      <c r="B30" s="188" t="s">
        <v>118</v>
      </c>
      <c r="C30" s="188" t="e">
        <f ca="1">$J$5&amp;"FR0J1D "&amp;  $D$4 &amp;" Index"</f>
        <v>#NAME?</v>
      </c>
      <c r="D30" s="189" t="e">
        <f ca="1">IF(ISNUMBER(_xll.BDP($C30,D$11,"UpdFreq="&amp;$A$6)),(_xll.BDP($C30,D$11,"UpdFreq="&amp;$A$6)+$G30)/100,(_xll.BDP($C30,"LAST PRICE","UpdFreq="&amp;$A$6)+$G30)/100)</f>
        <v>#NAME?</v>
      </c>
      <c r="E30" s="189" t="e">
        <f ca="1">IF(ISNUMBER(_xll.BDP($C30,E$11,"UpdFreq="&amp;$A$6)),(_xll.BDP($C30,E$11,"UpdFreq="&amp;$A$6)+$G30)/100,(_xll.BDP($C30,"LAST PRICE","UpdFreq="&amp;$A$6)+$G30)/100)</f>
        <v>#NAME?</v>
      </c>
      <c r="F30" s="189" t="e">
        <f ca="1">IF(ISNUMBER(_xll.BDP($C30,F$11,"UpdFreq="&amp;$A$6)),(_xll.BDP($C30,F$11,"UpdFreq="&amp;$A$6)+$G30)/100,(_xll.BDP($C30,"LAST PRICE","UpdFreq="&amp;$A$6)+$G30)/100)</f>
        <v>#NAME?</v>
      </c>
      <c r="G30" s="175"/>
      <c r="H30" s="190">
        <v>10</v>
      </c>
      <c r="I30" s="190" t="s">
        <v>29</v>
      </c>
      <c r="J30" s="191" t="e">
        <f ca="1">_xll.BAddPeriods($H$4,"Per="&amp;I30,"NumberOfPeriods="&amp;H30,$J$3,$J$4)</f>
        <v>#NAME?</v>
      </c>
      <c r="K30" s="192" t="e">
        <f ca="1">_xll.BAddPeriods($J30,"Per="&amp;I30,"NumberOfPeriods="&amp;6,$J$3,$J$4)</f>
        <v>#NAME?</v>
      </c>
      <c r="L30" s="176"/>
    </row>
    <row r="31" spans="1:12">
      <c r="A31" s="302"/>
      <c r="B31" s="188" t="s">
        <v>119</v>
      </c>
      <c r="C31" s="188" t="e">
        <f ca="1">$J$5&amp;"FR0K1E "&amp;  $D$4 &amp;" Index"</f>
        <v>#NAME?</v>
      </c>
      <c r="D31" s="189" t="e">
        <f ca="1">IF(ISNUMBER(_xll.BDP($C31,D$11,"UpdFreq="&amp;$A$6)),(_xll.BDP($C31,D$11,"UpdFreq="&amp;$A$6)+$G31)/100,(_xll.BDP($C31,"LAST PRICE","UpdFreq="&amp;$A$6)+$G31)/100)</f>
        <v>#NAME?</v>
      </c>
      <c r="E31" s="189" t="e">
        <f ca="1">IF(ISNUMBER(_xll.BDP($C31,E$11,"UpdFreq="&amp;$A$6)),(_xll.BDP($C31,E$11,"UpdFreq="&amp;$A$6)+$G31)/100,(_xll.BDP($C31,"LAST PRICE","UpdFreq="&amp;$A$6)+$G31)/100)</f>
        <v>#NAME?</v>
      </c>
      <c r="F31" s="189" t="e">
        <f ca="1">IF(ISNUMBER(_xll.BDP($C31,F$11,"UpdFreq="&amp;$A$6)),(_xll.BDP($C31,F$11,"UpdFreq="&amp;$A$6)+$G31)/100,(_xll.BDP($C31,"LAST PRICE","UpdFreq="&amp;$A$6)+$G31)/100)</f>
        <v>#NAME?</v>
      </c>
      <c r="G31" s="175"/>
      <c r="H31" s="190">
        <v>11</v>
      </c>
      <c r="I31" s="190" t="s">
        <v>29</v>
      </c>
      <c r="J31" s="191" t="e">
        <f ca="1">_xll.BAddPeriods($H$4,"Per="&amp;I31,"NumberOfPeriods="&amp;H31,$J$3,$J$4)</f>
        <v>#NAME?</v>
      </c>
      <c r="K31" s="192" t="e">
        <f ca="1">_xll.BAddPeriods($J31,"Per="&amp;I31,"NumberOfPeriods="&amp;6,$J$3,$J$4)</f>
        <v>#NAME?</v>
      </c>
      <c r="L31" s="176"/>
    </row>
    <row r="32" spans="1:12">
      <c r="A32" s="303"/>
      <c r="B32" s="193" t="s">
        <v>120</v>
      </c>
      <c r="C32" s="193" t="e">
        <f ca="1">$J$5&amp;"FR011F "&amp;  $D$4 &amp;" Index"</f>
        <v>#NAME?</v>
      </c>
      <c r="D32" s="194" t="e">
        <f ca="1">IF(ISNUMBER(_xll.BDP($C32,D$11,"UpdFreq="&amp;$A$6)),(_xll.BDP($C32,D$11,"UpdFreq="&amp;$A$6)+$G32)/100,(_xll.BDP($C32,"LAST PRICE","UpdFreq="&amp;$A$6)+$G32)/100)</f>
        <v>#NAME?</v>
      </c>
      <c r="E32" s="194" t="e">
        <f ca="1">IF(ISNUMBER(_xll.BDP($C32,E$11,"UpdFreq="&amp;$A$6)),(_xll.BDP($C32,E$11,"UpdFreq="&amp;$A$6)+$G32)/100,(_xll.BDP($C32,"LAST PRICE","UpdFreq="&amp;$A$6)+$G32)/100)</f>
        <v>#NAME?</v>
      </c>
      <c r="F32" s="194" t="e">
        <f ca="1">IF(ISNUMBER(_xll.BDP($C32,F$11,"UpdFreq="&amp;$A$6)),(_xll.BDP($C32,F$11,"UpdFreq="&amp;$A$6)+$G32)/100,(_xll.BDP($C32,"LAST PRICE","UpdFreq="&amp;$A$6)+$G32)/100)</f>
        <v>#NAME?</v>
      </c>
      <c r="G32" s="175"/>
      <c r="H32" s="190">
        <v>12</v>
      </c>
      <c r="I32" s="195" t="s">
        <v>29</v>
      </c>
      <c r="J32" s="196" t="e">
        <f ca="1">_xll.BAddPeriods($H$4,"Per="&amp;I32,"NumberOfPeriods="&amp;H32,$J$3,$J$4)</f>
        <v>#NAME?</v>
      </c>
      <c r="K32" s="192" t="e">
        <f ca="1">_xll.BAddPeriods($J32,"Per="&amp;I32,"NumberOfPeriods="&amp;6,$J$3,$J$4)</f>
        <v>#NAME?</v>
      </c>
      <c r="L32" s="176"/>
    </row>
    <row r="33" spans="1:16">
      <c r="A33" s="296" t="s">
        <v>5</v>
      </c>
      <c r="B33" s="197" t="s">
        <v>3</v>
      </c>
      <c r="C33" s="198" t="s">
        <v>130</v>
      </c>
      <c r="D33" s="199" t="s">
        <v>131</v>
      </c>
      <c r="E33" s="199" t="s">
        <v>131</v>
      </c>
      <c r="F33" s="200" t="e">
        <f ca="1">O33/100+'USD 3M'!F29</f>
        <v>#NAME?</v>
      </c>
      <c r="G33" s="174"/>
      <c r="H33" s="201">
        <v>1</v>
      </c>
      <c r="I33" s="201" t="s">
        <v>30</v>
      </c>
      <c r="J33" s="209" t="e">
        <f ca="1">$H$4</f>
        <v>#NAME?</v>
      </c>
      <c r="K33" s="203" t="e">
        <f ca="1">_xll.BAddPeriods($H$4,"Per="&amp;I33,"NumberOfPeriods="&amp;H33,$J$3,$J$4)</f>
        <v>#NAME?</v>
      </c>
      <c r="L33" s="312" t="s">
        <v>132</v>
      </c>
      <c r="M33" s="227" t="s">
        <v>133</v>
      </c>
      <c r="N33" s="228" t="s">
        <v>134</v>
      </c>
      <c r="O33" s="313" t="e">
        <f ca="1">IF(ISNUMBER(_xll.BDP(N33,$D$11,"UpdFreq="&amp;$A$5)),(_xll.BDP(N33,$D$11,"UpdFreq="&amp;$A$5)+G33)/100,(_xll.BDP(N33,"LAST PRICE","UpdFreq="&amp;$A$5)+G33)/100)</f>
        <v>#NAME?</v>
      </c>
      <c r="P33" s="314"/>
    </row>
    <row r="34" spans="1:16">
      <c r="A34" s="296"/>
      <c r="B34" s="204" t="s">
        <v>7</v>
      </c>
      <c r="C34" s="205" t="s">
        <v>130</v>
      </c>
      <c r="D34" s="206" t="s">
        <v>131</v>
      </c>
      <c r="E34" s="206" t="s">
        <v>131</v>
      </c>
      <c r="F34" s="207" t="e">
        <f ca="1">O34/100+'USD 3M'!F30</f>
        <v>#NAME?</v>
      </c>
      <c r="G34" s="174"/>
      <c r="H34" s="208">
        <f t="shared" ref="H34:H47" si="3">VALUE(LEFT(B34,2))</f>
        <v>2</v>
      </c>
      <c r="I34" s="208" t="s">
        <v>30</v>
      </c>
      <c r="J34" s="209"/>
      <c r="K34" s="210" t="e">
        <f ca="1">_xll.BAddPeriods($H$4,"Per="&amp;I34,"NumberOfPeriods="&amp;H34,$J$3,$J$4)</f>
        <v>#NAME?</v>
      </c>
      <c r="L34" s="296"/>
      <c r="M34" s="229" t="s">
        <v>135</v>
      </c>
      <c r="N34" s="205" t="s">
        <v>136</v>
      </c>
      <c r="O34" s="309" t="e">
        <f ca="1">IF(ISNUMBER(_xll.BDP(N34,$D$11,"UpdFreq="&amp;$A$5)),(_xll.BDP(N34,$D$11,"UpdFreq="&amp;$A$5)+G34)/100,(_xll.BDP(N34,"LAST PRICE","UpdFreq="&amp;$A$5)+G34)/100)</f>
        <v>#NAME?</v>
      </c>
      <c r="P34" s="310"/>
    </row>
    <row r="35" spans="1:16">
      <c r="A35" s="296"/>
      <c r="B35" s="204" t="s">
        <v>8</v>
      </c>
      <c r="C35" s="205" t="s">
        <v>130</v>
      </c>
      <c r="D35" s="206" t="s">
        <v>131</v>
      </c>
      <c r="E35" s="206" t="s">
        <v>131</v>
      </c>
      <c r="F35" s="207" t="e">
        <f ca="1">O35/100+'USD 3M'!F31</f>
        <v>#NAME?</v>
      </c>
      <c r="G35" s="174"/>
      <c r="H35" s="208">
        <f t="shared" si="3"/>
        <v>3</v>
      </c>
      <c r="I35" s="208" t="s">
        <v>30</v>
      </c>
      <c r="J35" s="209"/>
      <c r="K35" s="210" t="e">
        <f ca="1">_xll.BAddPeriods($H$4,"Per="&amp;I35,"NumberOfPeriods="&amp;H35,$J$3,$J$4)</f>
        <v>#NAME?</v>
      </c>
      <c r="L35" s="296"/>
      <c r="M35" s="229" t="s">
        <v>137</v>
      </c>
      <c r="N35" s="205" t="s">
        <v>138</v>
      </c>
      <c r="O35" s="309" t="e">
        <f ca="1">IF(ISNUMBER(_xll.BDP(N35,$D$11,"UpdFreq="&amp;$A$5)),(_xll.BDP(N35,$D$11,"UpdFreq="&amp;$A$5)+G35)/100,(_xll.BDP(N35,"LAST PRICE","UpdFreq="&amp;$A$5)+G35)/100)</f>
        <v>#NAME?</v>
      </c>
      <c r="P35" s="310"/>
    </row>
    <row r="36" spans="1:16">
      <c r="A36" s="296"/>
      <c r="B36" s="204" t="s">
        <v>9</v>
      </c>
      <c r="C36" s="205" t="s">
        <v>130</v>
      </c>
      <c r="D36" s="206" t="s">
        <v>131</v>
      </c>
      <c r="E36" s="206" t="s">
        <v>131</v>
      </c>
      <c r="F36" s="207" t="e">
        <f ca="1">O36/100+'USD 3M'!F32</f>
        <v>#NAME?</v>
      </c>
      <c r="G36" s="174"/>
      <c r="H36" s="208">
        <f t="shared" si="3"/>
        <v>4</v>
      </c>
      <c r="I36" s="208" t="s">
        <v>30</v>
      </c>
      <c r="J36" s="209"/>
      <c r="K36" s="210" t="e">
        <f ca="1">_xll.BAddPeriods($H$4,"Per="&amp;I36,"NumberOfPeriods="&amp;H36,$J$3,$J$4)</f>
        <v>#NAME?</v>
      </c>
      <c r="L36" s="296"/>
      <c r="M36" s="229" t="s">
        <v>139</v>
      </c>
      <c r="N36" s="205" t="s">
        <v>140</v>
      </c>
      <c r="O36" s="309" t="e">
        <f ca="1">IF(ISNUMBER(_xll.BDP(N36,$D$11,"UpdFreq="&amp;$A$5)),(_xll.BDP(N36,$D$11,"UpdFreq="&amp;$A$5)+G36)/100,(_xll.BDP(N36,"LAST PRICE","UpdFreq="&amp;$A$5)+G36)/100)</f>
        <v>#NAME?</v>
      </c>
      <c r="P36" s="310"/>
    </row>
    <row r="37" spans="1:16">
      <c r="A37" s="296"/>
      <c r="B37" s="204" t="s">
        <v>10</v>
      </c>
      <c r="C37" s="205" t="s">
        <v>130</v>
      </c>
      <c r="D37" s="206" t="s">
        <v>131</v>
      </c>
      <c r="E37" s="206" t="s">
        <v>131</v>
      </c>
      <c r="F37" s="207" t="e">
        <f ca="1">O37/100+'USD 3M'!F33</f>
        <v>#NAME?</v>
      </c>
      <c r="G37" s="174"/>
      <c r="H37" s="208">
        <f t="shared" si="3"/>
        <v>5</v>
      </c>
      <c r="I37" s="208" t="s">
        <v>30</v>
      </c>
      <c r="J37" s="209"/>
      <c r="K37" s="210" t="e">
        <f ca="1">_xll.BAddPeriods($H$4,"Per="&amp;I37,"NumberOfPeriods="&amp;H37,$J$3,$J$4)</f>
        <v>#NAME?</v>
      </c>
      <c r="L37" s="296"/>
      <c r="M37" s="229" t="s">
        <v>141</v>
      </c>
      <c r="N37" s="205" t="s">
        <v>142</v>
      </c>
      <c r="O37" s="309" t="e">
        <f ca="1">IF(ISNUMBER(_xll.BDP(N37,$D$11,"UpdFreq="&amp;$A$5)),(_xll.BDP(N37,$D$11,"UpdFreq="&amp;$A$5)+G37)/100,(_xll.BDP(N37,"LAST PRICE","UpdFreq="&amp;$A$5)+G37)/100)</f>
        <v>#NAME?</v>
      </c>
      <c r="P37" s="310"/>
    </row>
    <row r="38" spans="1:16">
      <c r="A38" s="296"/>
      <c r="B38" s="204" t="s">
        <v>11</v>
      </c>
      <c r="C38" s="205" t="s">
        <v>130</v>
      </c>
      <c r="D38" s="206" t="s">
        <v>131</v>
      </c>
      <c r="E38" s="206" t="s">
        <v>131</v>
      </c>
      <c r="F38" s="207" t="e">
        <f ca="1">O38/100+'USD 3M'!F34</f>
        <v>#NAME?</v>
      </c>
      <c r="G38" s="174"/>
      <c r="H38" s="208">
        <f t="shared" si="3"/>
        <v>6</v>
      </c>
      <c r="I38" s="208" t="s">
        <v>30</v>
      </c>
      <c r="J38" s="209"/>
      <c r="K38" s="210" t="e">
        <f ca="1">_xll.BAddPeriods($H$4,"Per="&amp;I38,"NumberOfPeriods="&amp;H38,$J$3,$J$4)</f>
        <v>#NAME?</v>
      </c>
      <c r="L38" s="296"/>
      <c r="M38" s="229" t="s">
        <v>143</v>
      </c>
      <c r="N38" s="205" t="s">
        <v>144</v>
      </c>
      <c r="O38" s="309" t="e">
        <f ca="1">IF(ISNUMBER(_xll.BDP(N38,$D$11,"UpdFreq="&amp;$A$5)),(_xll.BDP(N38,$D$11,"UpdFreq="&amp;$A$5)+G38)/100,(_xll.BDP(N38,"LAST PRICE","UpdFreq="&amp;$A$5)+G38)/100)</f>
        <v>#NAME?</v>
      </c>
      <c r="P38" s="310"/>
    </row>
    <row r="39" spans="1:16">
      <c r="A39" s="296"/>
      <c r="B39" s="204" t="s">
        <v>12</v>
      </c>
      <c r="C39" s="205" t="s">
        <v>130</v>
      </c>
      <c r="D39" s="206" t="s">
        <v>131</v>
      </c>
      <c r="E39" s="206" t="s">
        <v>131</v>
      </c>
      <c r="F39" s="207" t="e">
        <f ca="1">O39/100+'USD 3M'!F35</f>
        <v>#NAME?</v>
      </c>
      <c r="G39" s="174"/>
      <c r="H39" s="208">
        <f t="shared" si="3"/>
        <v>7</v>
      </c>
      <c r="I39" s="208" t="s">
        <v>30</v>
      </c>
      <c r="J39" s="209"/>
      <c r="K39" s="210" t="e">
        <f ca="1">_xll.BAddPeriods($H$4,"Per="&amp;I39,"NumberOfPeriods="&amp;H39,$J$3,$J$4)</f>
        <v>#NAME?</v>
      </c>
      <c r="L39" s="296"/>
      <c r="M39" s="229" t="s">
        <v>145</v>
      </c>
      <c r="N39" s="205" t="s">
        <v>146</v>
      </c>
      <c r="O39" s="309" t="e">
        <f ca="1">IF(ISNUMBER(_xll.BDP(N39,$D$11,"UpdFreq="&amp;$A$5)),(_xll.BDP(N39,$D$11,"UpdFreq="&amp;$A$5)+G39)/100,(_xll.BDP(N39,"LAST PRICE","UpdFreq="&amp;$A$5)+G39)/100)</f>
        <v>#NAME?</v>
      </c>
      <c r="P39" s="310"/>
    </row>
    <row r="40" spans="1:16">
      <c r="A40" s="296"/>
      <c r="B40" s="204" t="s">
        <v>13</v>
      </c>
      <c r="C40" s="205" t="s">
        <v>130</v>
      </c>
      <c r="D40" s="206" t="s">
        <v>131</v>
      </c>
      <c r="E40" s="206" t="s">
        <v>131</v>
      </c>
      <c r="F40" s="207" t="e">
        <f ca="1">O40/100+'USD 3M'!F36</f>
        <v>#NAME?</v>
      </c>
      <c r="G40" s="174"/>
      <c r="H40" s="208">
        <f t="shared" si="3"/>
        <v>8</v>
      </c>
      <c r="I40" s="208" t="s">
        <v>30</v>
      </c>
      <c r="J40" s="209"/>
      <c r="K40" s="210" t="e">
        <f ca="1">_xll.BAddPeriods($H$4,"Per="&amp;I40,"NumberOfPeriods="&amp;H40,$J$3,$J$4)</f>
        <v>#NAME?</v>
      </c>
      <c r="L40" s="296"/>
      <c r="M40" s="229" t="s">
        <v>147</v>
      </c>
      <c r="N40" s="205" t="s">
        <v>148</v>
      </c>
      <c r="O40" s="309" t="e">
        <f ca="1">IF(ISNUMBER(_xll.BDP(N40,$D$11,"UpdFreq="&amp;$A$5)),(_xll.BDP(N40,$D$11,"UpdFreq="&amp;$A$5)+G40)/100,(_xll.BDP(N40,"LAST PRICE","UpdFreq="&amp;$A$5)+G40)/100)</f>
        <v>#NAME?</v>
      </c>
      <c r="P40" s="310"/>
    </row>
    <row r="41" spans="1:16">
      <c r="A41" s="296"/>
      <c r="B41" s="204" t="s">
        <v>14</v>
      </c>
      <c r="C41" s="205" t="s">
        <v>130</v>
      </c>
      <c r="D41" s="206" t="s">
        <v>131</v>
      </c>
      <c r="E41" s="206" t="s">
        <v>131</v>
      </c>
      <c r="F41" s="207" t="e">
        <f ca="1">O41/100+'USD 3M'!F37</f>
        <v>#NAME?</v>
      </c>
      <c r="G41" s="174"/>
      <c r="H41" s="208">
        <f t="shared" si="3"/>
        <v>9</v>
      </c>
      <c r="I41" s="208" t="s">
        <v>30</v>
      </c>
      <c r="J41" s="209"/>
      <c r="K41" s="210" t="e">
        <f ca="1">_xll.BAddPeriods($H$4,"Per="&amp;I41,"NumberOfPeriods="&amp;H41,$J$3,$J$4)</f>
        <v>#NAME?</v>
      </c>
      <c r="L41" s="297"/>
      <c r="M41" s="229" t="s">
        <v>149</v>
      </c>
      <c r="N41" s="205" t="s">
        <v>150</v>
      </c>
      <c r="O41" s="309" t="e">
        <f ca="1">IF(ISNUMBER(_xll.BDP(N41,$D$11,"UpdFreq="&amp;$A$5)),(_xll.BDP(N41,$D$11,"UpdFreq="&amp;$A$5)+G41)/100,(_xll.BDP(N41,"LAST PRICE","UpdFreq="&amp;$A$5)+G41)/100)</f>
        <v>#NAME?</v>
      </c>
      <c r="P41" s="310"/>
    </row>
    <row r="42" spans="1:16">
      <c r="A42" s="297"/>
      <c r="B42" s="204" t="s">
        <v>15</v>
      </c>
      <c r="C42" s="205" t="s">
        <v>130</v>
      </c>
      <c r="D42" s="206" t="s">
        <v>131</v>
      </c>
      <c r="E42" s="206" t="s">
        <v>131</v>
      </c>
      <c r="F42" s="207" t="e">
        <f ca="1">O42/100+'USD 3M'!F38</f>
        <v>#NAME?</v>
      </c>
      <c r="G42" s="174"/>
      <c r="H42" s="208">
        <f t="shared" si="3"/>
        <v>10</v>
      </c>
      <c r="I42" s="208" t="s">
        <v>30</v>
      </c>
      <c r="J42" s="209"/>
      <c r="K42" s="210" t="e">
        <f ca="1">_xll.BAddPeriods($H$4,"Per="&amp;I42,"NumberOfPeriods="&amp;H42,$J$3,$J$4)</f>
        <v>#NAME?</v>
      </c>
      <c r="L42" s="297"/>
      <c r="M42" s="229" t="s">
        <v>151</v>
      </c>
      <c r="N42" s="205" t="s">
        <v>152</v>
      </c>
      <c r="O42" s="309" t="e">
        <f ca="1">IF(ISNUMBER(_xll.BDP(N42,$D$11,"UpdFreq="&amp;$A$5)),(_xll.BDP(N42,$D$11,"UpdFreq="&amp;$A$5)+G42)/100,(_xll.BDP(N42,"LAST PRICE","UpdFreq="&amp;$A$5)+G42)/100)</f>
        <v>#NAME?</v>
      </c>
      <c r="P42" s="310"/>
    </row>
    <row r="43" spans="1:16">
      <c r="A43" s="297"/>
      <c r="B43" s="204" t="s">
        <v>16</v>
      </c>
      <c r="C43" s="205" t="s">
        <v>130</v>
      </c>
      <c r="D43" s="206" t="s">
        <v>131</v>
      </c>
      <c r="E43" s="206" t="s">
        <v>131</v>
      </c>
      <c r="F43" s="207" t="e">
        <f ca="1">O43/100+'USD 3M'!F39</f>
        <v>#NAME?</v>
      </c>
      <c r="G43" s="174"/>
      <c r="H43" s="208">
        <f t="shared" si="3"/>
        <v>12</v>
      </c>
      <c r="I43" s="208" t="s">
        <v>30</v>
      </c>
      <c r="J43" s="209"/>
      <c r="K43" s="210" t="e">
        <f ca="1">_xll.BAddPeriods($H$4,"Per="&amp;I43,"NumberOfPeriods="&amp;H43,$J$3,$J$4)</f>
        <v>#NAME?</v>
      </c>
      <c r="L43" s="297"/>
      <c r="M43" s="229" t="s">
        <v>153</v>
      </c>
      <c r="N43" s="205" t="s">
        <v>154</v>
      </c>
      <c r="O43" s="309" t="e">
        <f ca="1">IF(ISNUMBER(_xll.BDP(N43,$D$11,"UpdFreq="&amp;$A$5)),(_xll.BDP(N43,$D$11,"UpdFreq="&amp;$A$5)+G43)/100,(_xll.BDP(N43,"LAST PRICE","UpdFreq="&amp;$A$5)+G43)/100)</f>
        <v>#NAME?</v>
      </c>
      <c r="P43" s="310"/>
    </row>
    <row r="44" spans="1:16">
      <c r="A44" s="297"/>
      <c r="B44" s="204" t="s">
        <v>17</v>
      </c>
      <c r="C44" s="205" t="s">
        <v>130</v>
      </c>
      <c r="D44" s="206" t="s">
        <v>131</v>
      </c>
      <c r="E44" s="206" t="s">
        <v>131</v>
      </c>
      <c r="F44" s="207" t="e">
        <f ca="1">O44/100+'USD 3M'!F40</f>
        <v>#NAME?</v>
      </c>
      <c r="G44" s="174"/>
      <c r="H44" s="208">
        <f t="shared" si="3"/>
        <v>15</v>
      </c>
      <c r="I44" s="208" t="s">
        <v>30</v>
      </c>
      <c r="J44" s="209"/>
      <c r="K44" s="210" t="e">
        <f ca="1">_xll.BAddPeriods($H$4,"Per="&amp;I44,"NumberOfPeriods="&amp;H44,$J$3,$J$4)</f>
        <v>#NAME?</v>
      </c>
      <c r="L44" s="297"/>
      <c r="M44" s="229" t="s">
        <v>155</v>
      </c>
      <c r="N44" s="205" t="s">
        <v>156</v>
      </c>
      <c r="O44" s="309" t="e">
        <f ca="1">IF(ISNUMBER(_xll.BDP(N44,$D$11,"UpdFreq="&amp;$A$5)),(_xll.BDP(N44,$D$11,"UpdFreq="&amp;$A$5)+G44)/100,(_xll.BDP(N44,"LAST PRICE","UpdFreq="&amp;$A$5)+G44)/100)</f>
        <v>#NAME?</v>
      </c>
      <c r="P44" s="310"/>
    </row>
    <row r="45" spans="1:16">
      <c r="A45" s="297"/>
      <c r="B45" s="204" t="s">
        <v>18</v>
      </c>
      <c r="C45" s="205" t="s">
        <v>130</v>
      </c>
      <c r="D45" s="206" t="s">
        <v>131</v>
      </c>
      <c r="E45" s="206" t="s">
        <v>131</v>
      </c>
      <c r="F45" s="207" t="e">
        <f ca="1">O45/100+'USD 3M'!F41</f>
        <v>#NAME?</v>
      </c>
      <c r="G45" s="174"/>
      <c r="H45" s="208">
        <f t="shared" si="3"/>
        <v>20</v>
      </c>
      <c r="I45" s="208" t="s">
        <v>30</v>
      </c>
      <c r="J45" s="209"/>
      <c r="K45" s="210" t="e">
        <f ca="1">_xll.BAddPeriods($H$4,"Per="&amp;I45,"NumberOfPeriods="&amp;H45,$J$3,$J$4)</f>
        <v>#NAME?</v>
      </c>
      <c r="L45" s="297"/>
      <c r="M45" s="229" t="s">
        <v>157</v>
      </c>
      <c r="N45" s="205" t="s">
        <v>158</v>
      </c>
      <c r="O45" s="309" t="e">
        <f ca="1">IF(ISNUMBER(_xll.BDP(N45,$D$11,"UpdFreq="&amp;$A$5)),(_xll.BDP(N45,$D$11,"UpdFreq="&amp;$A$5)+G45)/100,(_xll.BDP(N45,"LAST PRICE","UpdFreq="&amp;$A$5)+G45)/100)</f>
        <v>#NAME?</v>
      </c>
      <c r="P45" s="310"/>
    </row>
    <row r="46" spans="1:16">
      <c r="A46" s="297"/>
      <c r="B46" s="204" t="s">
        <v>19</v>
      </c>
      <c r="C46" s="205" t="s">
        <v>130</v>
      </c>
      <c r="D46" s="206" t="s">
        <v>131</v>
      </c>
      <c r="E46" s="206" t="s">
        <v>131</v>
      </c>
      <c r="F46" s="207" t="e">
        <f ca="1">O46/100+'USD 3M'!F42</f>
        <v>#NAME?</v>
      </c>
      <c r="G46" s="174"/>
      <c r="H46" s="208">
        <f t="shared" si="3"/>
        <v>25</v>
      </c>
      <c r="I46" s="208" t="s">
        <v>30</v>
      </c>
      <c r="J46" s="209"/>
      <c r="K46" s="210" t="e">
        <f ca="1">_xll.BAddPeriods($H$4,"Per="&amp;I46,"NumberOfPeriods="&amp;H46,$J$3,$J$4)</f>
        <v>#NAME?</v>
      </c>
      <c r="L46" s="297"/>
      <c r="M46" s="229" t="s">
        <v>159</v>
      </c>
      <c r="N46" s="205" t="s">
        <v>160</v>
      </c>
      <c r="O46" s="309" t="e">
        <f ca="1">IF(ISNUMBER(_xll.BDP(N46,$D$11,"UpdFreq="&amp;$A$5)),(_xll.BDP(N46,$D$11,"UpdFreq="&amp;$A$5)+G46)/100,(_xll.BDP(N46,"LAST PRICE","UpdFreq="&amp;$A$5)+G46)/100)</f>
        <v>#NAME?</v>
      </c>
      <c r="P46" s="310"/>
    </row>
    <row r="47" spans="1:16">
      <c r="A47" s="297"/>
      <c r="B47" s="204" t="s">
        <v>20</v>
      </c>
      <c r="C47" s="205" t="s">
        <v>130</v>
      </c>
      <c r="D47" s="206" t="s">
        <v>131</v>
      </c>
      <c r="E47" s="206" t="s">
        <v>131</v>
      </c>
      <c r="F47" s="207" t="e">
        <f ca="1">O47/100+'USD 3M'!F43</f>
        <v>#NAME?</v>
      </c>
      <c r="G47" s="174"/>
      <c r="H47" s="208">
        <f t="shared" si="3"/>
        <v>30</v>
      </c>
      <c r="I47" s="208" t="s">
        <v>30</v>
      </c>
      <c r="J47" s="209"/>
      <c r="K47" s="210" t="e">
        <f ca="1">_xll.BAddPeriods($H$4,"Per="&amp;I47,"NumberOfPeriods="&amp;H47,$J$3,$J$4)</f>
        <v>#NAME?</v>
      </c>
      <c r="L47" s="297"/>
      <c r="M47" s="229" t="s">
        <v>161</v>
      </c>
      <c r="N47" s="205" t="s">
        <v>162</v>
      </c>
      <c r="O47" s="309" t="e">
        <f ca="1">IF(ISNUMBER(_xll.BDP(N47,$D$11,"UpdFreq="&amp;$A$5)),(_xll.BDP(N47,$D$11,"UpdFreq="&amp;$A$5)+G47)/100,(_xll.BDP(N47,"LAST PRICE","UpdFreq="&amp;$A$5)+G47)/100)</f>
        <v>#NAME?</v>
      </c>
      <c r="P47" s="311"/>
    </row>
    <row r="48" spans="1:16">
      <c r="A48" s="297"/>
      <c r="B48" s="204"/>
      <c r="C48" s="205"/>
      <c r="D48" s="206"/>
      <c r="E48" s="206"/>
      <c r="F48" s="207"/>
      <c r="G48" s="174"/>
      <c r="H48" s="208"/>
      <c r="I48" s="208"/>
      <c r="J48" s="209"/>
      <c r="K48" s="210"/>
      <c r="L48" s="297"/>
      <c r="M48" s="229"/>
      <c r="N48" s="205"/>
      <c r="O48" s="205"/>
      <c r="P48" s="230"/>
    </row>
    <row r="49" spans="1:16">
      <c r="A49" s="297"/>
      <c r="B49" s="204"/>
      <c r="C49" s="205"/>
      <c r="D49" s="206"/>
      <c r="E49" s="206"/>
      <c r="F49" s="207"/>
      <c r="G49" s="174"/>
      <c r="H49" s="208"/>
      <c r="I49" s="208"/>
      <c r="J49" s="209"/>
      <c r="K49" s="210"/>
      <c r="L49" s="297"/>
      <c r="M49" s="229"/>
      <c r="N49" s="205"/>
      <c r="O49" s="205"/>
      <c r="P49" s="230"/>
    </row>
    <row r="50" spans="1:16">
      <c r="A50" s="297"/>
      <c r="B50" s="204"/>
      <c r="C50" s="205"/>
      <c r="D50" s="206"/>
      <c r="E50" s="206"/>
      <c r="F50" s="207"/>
      <c r="G50" s="174"/>
      <c r="H50" s="208"/>
      <c r="I50" s="208"/>
      <c r="J50" s="209"/>
      <c r="K50" s="210"/>
      <c r="L50" s="297"/>
      <c r="M50" s="229"/>
      <c r="N50" s="205"/>
      <c r="O50" s="205"/>
      <c r="P50" s="230"/>
    </row>
    <row r="51" spans="1:16">
      <c r="A51" s="297"/>
      <c r="B51" s="204"/>
      <c r="C51" s="205"/>
      <c r="D51" s="206"/>
      <c r="E51" s="206"/>
      <c r="F51" s="207"/>
      <c r="G51" s="174"/>
      <c r="H51" s="208"/>
      <c r="I51" s="208"/>
      <c r="J51" s="209"/>
      <c r="K51" s="210"/>
      <c r="L51" s="297"/>
      <c r="M51" s="229"/>
      <c r="N51" s="205"/>
      <c r="O51" s="205"/>
      <c r="P51" s="230"/>
    </row>
    <row r="52" spans="1:16">
      <c r="A52" s="297"/>
      <c r="B52" s="211"/>
      <c r="C52" s="212"/>
      <c r="D52" s="213"/>
      <c r="E52" s="213"/>
      <c r="F52" s="214"/>
      <c r="G52" s="174"/>
      <c r="H52" s="215"/>
      <c r="I52" s="215"/>
      <c r="J52" s="216"/>
      <c r="K52" s="217"/>
      <c r="L52" s="298"/>
      <c r="M52" s="231"/>
      <c r="N52" s="232"/>
      <c r="O52" s="233"/>
      <c r="P52" s="234"/>
    </row>
    <row r="53" spans="1:16">
      <c r="J53" s="123"/>
      <c r="L53" s="121"/>
    </row>
    <row r="54" spans="1:16">
      <c r="D54" s="218" t="s">
        <v>107</v>
      </c>
      <c r="J54" s="123"/>
      <c r="L54" s="121"/>
    </row>
    <row r="55" spans="1:16">
      <c r="A55" s="219" t="s">
        <v>104</v>
      </c>
      <c r="B55" s="220" t="s">
        <v>129</v>
      </c>
      <c r="C55" s="219" t="s">
        <v>128</v>
      </c>
      <c r="D55" s="221" t="e">
        <f ca="1">_xll.BDP(C55,"LAST_PRICE","UpdFreq="&amp;$A$6)/100</f>
        <v>#NAME?</v>
      </c>
    </row>
  </sheetData>
  <mergeCells count="22">
    <mergeCell ref="A33:A52"/>
    <mergeCell ref="B4:C4"/>
    <mergeCell ref="B6:C6"/>
    <mergeCell ref="A21:A32"/>
    <mergeCell ref="A12:A20"/>
    <mergeCell ref="B5:C5"/>
    <mergeCell ref="L33:L52"/>
    <mergeCell ref="O33:P33"/>
    <mergeCell ref="O34:P34"/>
    <mergeCell ref="O35:P35"/>
    <mergeCell ref="O36:P36"/>
    <mergeCell ref="O37:P37"/>
    <mergeCell ref="O38:P38"/>
    <mergeCell ref="O39:P39"/>
    <mergeCell ref="O40:P40"/>
    <mergeCell ref="O41:P41"/>
    <mergeCell ref="O46:P46"/>
    <mergeCell ref="O47:P47"/>
    <mergeCell ref="O42:P42"/>
    <mergeCell ref="O43:P43"/>
    <mergeCell ref="O44:P44"/>
    <mergeCell ref="O45:P45"/>
  </mergeCells>
  <phoneticPr fontId="2" type="noConversion"/>
  <dataValidations count="3">
    <dataValidation type="list" allowBlank="1" showInputMessage="1" showErrorMessage="1" sqref="D6">
      <formula1>$AF$3:$AF$6</formula1>
    </dataValidation>
    <dataValidation type="list" allowBlank="1" showInputMessage="1" showErrorMessage="1" sqref="D3">
      <formula1>$R$2:$R$3</formula1>
    </dataValidation>
    <dataValidation type="list" allowBlank="1" showInputMessage="1" showErrorMessage="1" sqref="D4:D5">
      <formula1>Contributori</formula1>
    </dataValidation>
  </dataValidations>
  <pageMargins left="0.75" right="0.75" top="1" bottom="1" header="0.5" footer="0.5"/>
  <pageSetup paperSize="9" orientation="landscape" r:id="rId1"/>
  <headerFooter alignWithMargins="0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Foglio13" enableFormatConditionsCalculation="0">
    <tabColor indexed="48"/>
    <pageSetUpPr autoPageBreaks="0"/>
  </sheetPr>
  <dimension ref="A1:AE139"/>
  <sheetViews>
    <sheetView showGridLines="0" zoomScale="80" workbookViewId="0">
      <pane ySplit="8" topLeftCell="A9" activePane="bottomLeft" state="frozenSplit"/>
      <selection activeCell="D7" sqref="D7"/>
      <selection pane="bottomLeft" activeCell="D12" sqref="D12"/>
    </sheetView>
  </sheetViews>
  <sheetFormatPr defaultColWidth="0" defaultRowHeight="12.75"/>
  <cols>
    <col min="1" max="1" width="9.7109375" style="121" customWidth="1"/>
    <col min="2" max="2" width="19.7109375" style="121" customWidth="1"/>
    <col min="3" max="4" width="11.7109375" style="121" customWidth="1"/>
    <col min="5" max="5" width="2.85546875" style="121" bestFit="1" customWidth="1"/>
    <col min="6" max="6" width="12.7109375" style="121" customWidth="1"/>
    <col min="7" max="8" width="13.28515625" style="123" customWidth="1"/>
    <col min="9" max="10" width="14.7109375" style="121" customWidth="1"/>
    <col min="11" max="11" width="14.7109375" style="124" customWidth="1"/>
    <col min="12" max="12" width="10.140625" style="121" customWidth="1"/>
    <col min="13" max="13" width="9.85546875" style="121" customWidth="1"/>
    <col min="14" max="14" width="9.140625" style="121" customWidth="1"/>
    <col min="15" max="15" width="8.5703125" style="121" customWidth="1"/>
    <col min="16" max="16" width="0" style="121" hidden="1"/>
    <col min="17" max="17" width="8.140625" style="121" bestFit="1" customWidth="1"/>
    <col min="18" max="18" width="8.5703125" style="121" customWidth="1"/>
    <col min="19" max="19" width="10.28515625" style="121" customWidth="1"/>
    <col min="20" max="20" width="8.7109375" style="121" bestFit="1" customWidth="1"/>
    <col min="21" max="21" width="5.5703125" style="121" customWidth="1"/>
    <col min="22" max="22" width="7.7109375" style="121" customWidth="1"/>
    <col min="23" max="23" width="17.85546875" style="121" bestFit="1" customWidth="1"/>
    <col min="24" max="24" width="9.5703125" style="121" customWidth="1"/>
    <col min="25" max="25" width="10.28515625" style="121" customWidth="1"/>
    <col min="26" max="26" width="10.7109375" style="121" customWidth="1"/>
    <col min="27" max="27" width="0" style="121" hidden="1"/>
    <col min="28" max="28" width="13.85546875" style="121" customWidth="1"/>
    <col min="29" max="29" width="0" style="121" hidden="1"/>
    <col min="30" max="30" width="4.85546875" style="121" customWidth="1"/>
    <col min="31" max="31" width="7.28515625" style="121" customWidth="1"/>
    <col min="32" max="16384" width="0" style="121" hidden="1"/>
  </cols>
  <sheetData>
    <row r="1" spans="1:31" ht="43.5" customHeight="1">
      <c r="A1" s="127"/>
      <c r="B1" s="127"/>
      <c r="C1" s="127"/>
      <c r="D1" s="122"/>
      <c r="L1" s="125" t="s">
        <v>61</v>
      </c>
      <c r="O1" s="126"/>
      <c r="Q1" s="126"/>
      <c r="R1" s="127" t="s">
        <v>39</v>
      </c>
      <c r="S1" s="269"/>
      <c r="T1" s="269" t="s">
        <v>40</v>
      </c>
      <c r="U1" s="127"/>
      <c r="V1" s="127"/>
      <c r="W1" s="127"/>
      <c r="AA1" s="127"/>
      <c r="AB1" s="127"/>
      <c r="AE1" s="126" t="s">
        <v>73</v>
      </c>
    </row>
    <row r="2" spans="1:31" ht="13.5" customHeight="1">
      <c r="A2" s="124"/>
      <c r="B2" s="132" t="s">
        <v>175</v>
      </c>
      <c r="C2" s="238" t="s">
        <v>38</v>
      </c>
      <c r="G2" s="130"/>
      <c r="H2" s="129" t="s">
        <v>59</v>
      </c>
      <c r="I2" s="124"/>
      <c r="L2" s="125" t="s">
        <v>62</v>
      </c>
      <c r="M2" s="131"/>
      <c r="N2" s="126"/>
      <c r="O2" s="126"/>
      <c r="Q2" s="126" t="s">
        <v>77</v>
      </c>
      <c r="R2" s="127" t="s">
        <v>78</v>
      </c>
      <c r="S2" s="127"/>
      <c r="T2" s="127" t="s">
        <v>79</v>
      </c>
      <c r="U2" s="127"/>
      <c r="AA2" s="127"/>
      <c r="AB2" s="127"/>
    </row>
    <row r="3" spans="1:31" ht="12.75" customHeight="1">
      <c r="A3" s="124">
        <f>C3*1000</f>
        <v>5000</v>
      </c>
      <c r="B3" s="132" t="s">
        <v>71</v>
      </c>
      <c r="C3" s="239">
        <v>5</v>
      </c>
      <c r="D3" s="121" t="s">
        <v>72</v>
      </c>
      <c r="F3" s="219" t="s">
        <v>203</v>
      </c>
      <c r="G3" s="121"/>
      <c r="H3" s="135" t="s">
        <v>25</v>
      </c>
      <c r="I3" s="137" t="str">
        <f>C2</f>
        <v>USD</v>
      </c>
      <c r="M3" s="131"/>
      <c r="N3" s="126"/>
      <c r="O3" s="126"/>
      <c r="Q3" s="126" t="s">
        <v>38</v>
      </c>
      <c r="R3" s="127" t="s">
        <v>4</v>
      </c>
      <c r="S3" s="127"/>
      <c r="T3" s="127" t="s">
        <v>41</v>
      </c>
      <c r="U3" s="127"/>
      <c r="AA3" s="127"/>
      <c r="AB3" s="127"/>
      <c r="AE3" s="126">
        <v>1</v>
      </c>
    </row>
    <row r="4" spans="1:31">
      <c r="A4" s="124"/>
      <c r="B4" s="132" t="s">
        <v>176</v>
      </c>
      <c r="C4" s="240">
        <f ca="1">TODAY()</f>
        <v>41972</v>
      </c>
      <c r="E4" s="121" t="s">
        <v>195</v>
      </c>
      <c r="F4" s="121" t="s">
        <v>196</v>
      </c>
      <c r="G4" s="121"/>
      <c r="H4" s="139" t="s">
        <v>1</v>
      </c>
      <c r="I4" s="141" t="s">
        <v>33</v>
      </c>
      <c r="M4" s="131"/>
      <c r="N4" s="126"/>
      <c r="O4" s="142"/>
      <c r="Q4" s="143" t="e">
        <f>RTD("bloomberg.ccyreader", "", "#track", "DBG", "XCLR", "1.1", 1)</f>
        <v>#N/A</v>
      </c>
      <c r="AA4" s="127"/>
      <c r="AB4" s="127"/>
      <c r="AE4" s="126">
        <v>5</v>
      </c>
    </row>
    <row r="5" spans="1:31">
      <c r="A5" s="124"/>
      <c r="B5" s="132" t="s">
        <v>177</v>
      </c>
      <c r="C5" s="237" t="str">
        <f>INDEX($T$2:$T$3,MATCH($C$2,$Q$2:$Q$3,FALSE))</f>
        <v>ED</v>
      </c>
      <c r="E5" s="121" t="s">
        <v>197</v>
      </c>
      <c r="F5" s="121" t="s">
        <v>198</v>
      </c>
      <c r="G5" s="121"/>
      <c r="H5" s="139"/>
      <c r="I5" s="145"/>
      <c r="M5" s="131"/>
      <c r="N5" s="126"/>
      <c r="AA5" s="127"/>
      <c r="AB5" s="127"/>
      <c r="AE5" s="126">
        <v>10</v>
      </c>
    </row>
    <row r="6" spans="1:31">
      <c r="B6" s="132" t="s">
        <v>178</v>
      </c>
      <c r="C6" s="235">
        <v>0.125</v>
      </c>
      <c r="E6" s="121" t="s">
        <v>199</v>
      </c>
      <c r="F6" s="121" t="s">
        <v>200</v>
      </c>
      <c r="G6" s="121"/>
      <c r="H6" s="146" t="s">
        <v>76</v>
      </c>
      <c r="I6" s="147" t="e">
        <f ca="1">_xll.BDP(I3&amp;" Curncy","CALENDAR_CODE")</f>
        <v>#NAME?</v>
      </c>
      <c r="AA6" s="127"/>
      <c r="AB6" s="127"/>
      <c r="AE6" s="126">
        <v>60</v>
      </c>
    </row>
    <row r="7" spans="1:31" ht="13.5" customHeight="1">
      <c r="A7" s="124"/>
      <c r="B7" s="132" t="s">
        <v>179</v>
      </c>
      <c r="C7" s="236" t="s">
        <v>180</v>
      </c>
      <c r="D7" s="124"/>
      <c r="E7" s="122" t="s">
        <v>201</v>
      </c>
      <c r="F7" s="121" t="s">
        <v>202</v>
      </c>
      <c r="AA7" s="127"/>
      <c r="AB7" s="127"/>
    </row>
    <row r="8" spans="1:31" ht="13.5" customHeight="1">
      <c r="A8" s="149"/>
      <c r="B8" s="150"/>
      <c r="D8" s="150"/>
      <c r="E8" s="122"/>
      <c r="AB8" s="126"/>
    </row>
    <row r="9" spans="1:31" ht="13.5" customHeight="1">
      <c r="G9" s="121"/>
      <c r="H9" s="121"/>
      <c r="K9" s="121"/>
    </row>
    <row r="10" spans="1:31" ht="13.5" customHeight="1">
      <c r="G10" s="121"/>
      <c r="H10" s="121"/>
      <c r="K10" s="121"/>
    </row>
    <row r="11" spans="1:31" ht="13.5" thickBot="1">
      <c r="G11" s="121"/>
      <c r="H11" s="121"/>
      <c r="K11" s="121"/>
    </row>
    <row r="12" spans="1:31" ht="13.5" thickBot="1">
      <c r="B12" s="241" t="s">
        <v>181</v>
      </c>
      <c r="C12" s="242" t="s">
        <v>188</v>
      </c>
      <c r="G12" s="121"/>
      <c r="H12" s="251" t="e">
        <f t="shared" ref="H12:M12" ca="1" si="0">I12-$C$6</f>
        <v>#NAME?</v>
      </c>
      <c r="I12" s="252" t="e">
        <f t="shared" ca="1" si="0"/>
        <v>#NAME?</v>
      </c>
      <c r="J12" s="252" t="e">
        <f t="shared" ca="1" si="0"/>
        <v>#NAME?</v>
      </c>
      <c r="K12" s="252" t="e">
        <f t="shared" ca="1" si="0"/>
        <v>#NAME?</v>
      </c>
      <c r="L12" s="252" t="e">
        <f t="shared" ca="1" si="0"/>
        <v>#NAME?</v>
      </c>
      <c r="M12" s="252" t="e">
        <f t="shared" ca="1" si="0"/>
        <v>#NAME?</v>
      </c>
      <c r="N12" s="253" t="e">
        <f ca="1">ROUND($C13/($C$6),0)*$C$6</f>
        <v>#NAME?</v>
      </c>
      <c r="O12" s="252" t="e">
        <f t="shared" ref="O12:T12" ca="1" si="1">N12+$C$6</f>
        <v>#NAME?</v>
      </c>
      <c r="P12" s="252" t="e">
        <f t="shared" ca="1" si="1"/>
        <v>#NAME?</v>
      </c>
      <c r="Q12" s="252" t="e">
        <f t="shared" ca="1" si="1"/>
        <v>#NAME?</v>
      </c>
      <c r="R12" s="252" t="e">
        <f t="shared" ca="1" si="1"/>
        <v>#NAME?</v>
      </c>
      <c r="S12" s="252" t="e">
        <f t="shared" ca="1" si="1"/>
        <v>#NAME?</v>
      </c>
      <c r="T12" s="252" t="e">
        <f t="shared" ca="1" si="1"/>
        <v>#NAME?</v>
      </c>
    </row>
    <row r="13" spans="1:31">
      <c r="B13" s="243" t="s">
        <v>182</v>
      </c>
      <c r="C13" s="244" t="e">
        <f ca="1">AVERAGE(C14:C15)</f>
        <v>#NAME?</v>
      </c>
      <c r="E13" s="121" t="s">
        <v>183</v>
      </c>
      <c r="F13" s="263" t="s">
        <v>184</v>
      </c>
      <c r="G13" s="264" t="s">
        <v>56</v>
      </c>
      <c r="H13" s="254" t="str">
        <f ca="1">IF(ISNUMBER(_xll.BDP($C$5&amp;$C12&amp;$E13&amp;" "&amp;H12&amp;" "&amp;$C$7,$G13,"UpdFreq="&amp;$A$3)),_xll.BDP($C$5&amp;$C12&amp;$E13&amp;" "&amp;H12&amp;" "&amp;$C$7,$G13,"UpdFreq="&amp;$A$3),"")</f>
        <v/>
      </c>
      <c r="I13" s="255" t="str">
        <f ca="1">IF(ISNUMBER(_xll.BDP($C$5&amp;$C12&amp;$E13&amp;" "&amp;I12&amp;" "&amp;$C$7,$G13,"UpdFreq="&amp;$A$3)),_xll.BDP($C$5&amp;$C12&amp;$E13&amp;" "&amp;I12&amp;" "&amp;$C$7,$G13,"UpdFreq="&amp;$A$3),"")</f>
        <v/>
      </c>
      <c r="J13" s="255" t="str">
        <f ca="1">IF(ISNUMBER(_xll.BDP($C$5&amp;$C12&amp;$E13&amp;" "&amp;J12&amp;" "&amp;$C$7,$G13,"UpdFreq="&amp;$A$3)),_xll.BDP($C$5&amp;$C12&amp;$E13&amp;" "&amp;J12&amp;" "&amp;$C$7,$G13,"UpdFreq="&amp;$A$3),"")</f>
        <v/>
      </c>
      <c r="K13" s="255" t="str">
        <f ca="1">IF(ISNUMBER(_xll.BDP($C$5&amp;$C12&amp;$E13&amp;" "&amp;K12&amp;" "&amp;$C$7,$G13,"UpdFreq="&amp;$A$3)),_xll.BDP($C$5&amp;$C12&amp;$E13&amp;" "&amp;K12&amp;" "&amp;$C$7,$G13,"UpdFreq="&amp;$A$3),"")</f>
        <v/>
      </c>
      <c r="L13" s="255" t="str">
        <f ca="1">IF(ISNUMBER(_xll.BDP($C$5&amp;$C12&amp;$E13&amp;" "&amp;L12&amp;" "&amp;$C$7,$G13,"UpdFreq="&amp;$A$3)),_xll.BDP($C$5&amp;$C12&amp;$E13&amp;" "&amp;L12&amp;" "&amp;$C$7,$G13,"UpdFreq="&amp;$A$3),"")</f>
        <v/>
      </c>
      <c r="M13" s="255" t="str">
        <f ca="1">IF(ISNUMBER(_xll.BDP($C$5&amp;$C12&amp;$E13&amp;" "&amp;M12&amp;" "&amp;$C$7,$G13,"UpdFreq="&amp;$A$3)),_xll.BDP($C$5&amp;$C12&amp;$E13&amp;" "&amp;M12&amp;" "&amp;$C$7,$G13,"UpdFreq="&amp;$A$3),"")</f>
        <v/>
      </c>
      <c r="N13" s="255" t="str">
        <f ca="1">IF(ISNUMBER(_xll.BDP($C$5&amp;$C12&amp;$E13&amp;" "&amp;N12&amp;" "&amp;$C$7,$G13,"UpdFreq="&amp;$A$3)),_xll.BDP($C$5&amp;$C12&amp;$E13&amp;" "&amp;N12&amp;" "&amp;$C$7,$G13,"UpdFreq="&amp;$A$3),"")</f>
        <v/>
      </c>
      <c r="O13" s="255" t="str">
        <f ca="1">IF(ISNUMBER(_xll.BDP($C$5&amp;$C12&amp;$E13&amp;" "&amp;O12&amp;" "&amp;$C$7,$G13,"UpdFreq="&amp;$A$3)),_xll.BDP($C$5&amp;$C12&amp;$E13&amp;" "&amp;O12&amp;" "&amp;$C$7,$G13,"UpdFreq="&amp;$A$3),"")</f>
        <v/>
      </c>
      <c r="P13" s="255" t="str">
        <f ca="1">IF(ISNUMBER(_xll.BDP($C$5&amp;$C12&amp;$E13&amp;" "&amp;P12&amp;" "&amp;$C$7,$G13,"UpdFreq="&amp;$A$3)),_xll.BDP($C$5&amp;$C12&amp;$E13&amp;" "&amp;P12&amp;" "&amp;$C$7,$G13,"UpdFreq="&amp;$A$3),"")</f>
        <v/>
      </c>
      <c r="Q13" s="255" t="str">
        <f ca="1">IF(ISNUMBER(_xll.BDP($C$5&amp;$C12&amp;$E13&amp;" "&amp;Q12&amp;" "&amp;$C$7,$G13,"UpdFreq="&amp;$A$3)),_xll.BDP($C$5&amp;$C12&amp;$E13&amp;" "&amp;Q12&amp;" "&amp;$C$7,$G13,"UpdFreq="&amp;$A$3),"")</f>
        <v/>
      </c>
      <c r="R13" s="255" t="str">
        <f ca="1">IF(ISNUMBER(_xll.BDP($C$5&amp;$C12&amp;$E13&amp;" "&amp;R12&amp;" "&amp;$C$7,$G13,"UpdFreq="&amp;$A$3)),_xll.BDP($C$5&amp;$C12&amp;$E13&amp;" "&amp;R12&amp;" "&amp;$C$7,$G13,"UpdFreq="&amp;$A$3),"")</f>
        <v/>
      </c>
      <c r="S13" s="255" t="str">
        <f ca="1">IF(ISNUMBER(_xll.BDP($C$5&amp;$C12&amp;$E13&amp;" "&amp;S12&amp;" "&amp;$C$7,$G13,"UpdFreq="&amp;$A$3)),_xll.BDP($C$5&amp;$C12&amp;$E13&amp;" "&amp;S12&amp;" "&amp;$C$7,$G13,"UpdFreq="&amp;$A$3),"")</f>
        <v/>
      </c>
      <c r="T13" s="256" t="str">
        <f ca="1">IF(ISNUMBER(_xll.BDP($C$5&amp;$C12&amp;$E13&amp;" "&amp;T12&amp;" "&amp;$C$7,$G13,"UpdFreq="&amp;$A$3)),_xll.BDP($C$5&amp;$C12&amp;$E13&amp;" "&amp;T12&amp;" "&amp;$C$7,$G13,"UpdFreq="&amp;$A$3),"")</f>
        <v/>
      </c>
    </row>
    <row r="14" spans="1:31" ht="12.75" customHeight="1">
      <c r="B14" s="245" t="s">
        <v>57</v>
      </c>
      <c r="C14" s="246" t="e">
        <f ca="1">_xll.BDP($C$5&amp;C12&amp;" "&amp;$C$7, G15)</f>
        <v>#NAME?</v>
      </c>
      <c r="F14" s="265"/>
      <c r="G14" s="266" t="s">
        <v>57</v>
      </c>
      <c r="H14" s="257" t="str">
        <f ca="1">IF(ISNUMBER(_xll.BDP($C$5&amp;$C12&amp;$E13&amp;" "&amp;H12&amp;" "&amp;$C$7,$G14,"UpdFreq="&amp;$A$3)),_xll.BDP($C$5&amp;$C12&amp;$E13&amp;" "&amp;H12&amp;" "&amp;$C$7,$G14,"UpdFreq="&amp;$A$3),"")</f>
        <v/>
      </c>
      <c r="I14" s="258" t="str">
        <f ca="1">IF(ISNUMBER(_xll.BDP($C$5&amp;$C12&amp;$E13&amp;" "&amp;I12&amp;" "&amp;$C$7,$G14,"UpdFreq="&amp;$A$3)),_xll.BDP($C$5&amp;$C12&amp;$E13&amp;" "&amp;I12&amp;" "&amp;$C$7,$G14,"UpdFreq="&amp;$A$3),"")</f>
        <v/>
      </c>
      <c r="J14" s="258" t="str">
        <f ca="1">IF(ISNUMBER(_xll.BDP($C$5&amp;$C12&amp;$E13&amp;" "&amp;J12&amp;" "&amp;$C$7,$G14,"UpdFreq="&amp;$A$3)),_xll.BDP($C$5&amp;$C12&amp;$E13&amp;" "&amp;J12&amp;" "&amp;$C$7,$G14,"UpdFreq="&amp;$A$3),"")</f>
        <v/>
      </c>
      <c r="K14" s="258" t="str">
        <f ca="1">IF(ISNUMBER(_xll.BDP($C$5&amp;$C12&amp;$E13&amp;" "&amp;K12&amp;" "&amp;$C$7,$G14,"UpdFreq="&amp;$A$3)),_xll.BDP($C$5&amp;$C12&amp;$E13&amp;" "&amp;K12&amp;" "&amp;$C$7,$G14,"UpdFreq="&amp;$A$3),"")</f>
        <v/>
      </c>
      <c r="L14" s="258" t="str">
        <f ca="1">IF(ISNUMBER(_xll.BDP($C$5&amp;$C12&amp;$E13&amp;" "&amp;L12&amp;" "&amp;$C$7,$G14,"UpdFreq="&amp;$A$3)),_xll.BDP($C$5&amp;$C12&amp;$E13&amp;" "&amp;L12&amp;" "&amp;$C$7,$G14,"UpdFreq="&amp;$A$3),"")</f>
        <v/>
      </c>
      <c r="M14" s="258" t="str">
        <f ca="1">IF(ISNUMBER(_xll.BDP($C$5&amp;$C12&amp;$E13&amp;" "&amp;M12&amp;" "&amp;$C$7,$G14,"UpdFreq="&amp;$A$3)),_xll.BDP($C$5&amp;$C12&amp;$E13&amp;" "&amp;M12&amp;" "&amp;$C$7,$G14,"UpdFreq="&amp;$A$3),"")</f>
        <v/>
      </c>
      <c r="N14" s="258" t="str">
        <f ca="1">IF(ISNUMBER(_xll.BDP($C$5&amp;$C12&amp;$E13&amp;" "&amp;N12&amp;" "&amp;$C$7,$G14,"UpdFreq="&amp;$A$3)),_xll.BDP($C$5&amp;$C12&amp;$E13&amp;" "&amp;N12&amp;" "&amp;$C$7,$G14,"UpdFreq="&amp;$A$3),"")</f>
        <v/>
      </c>
      <c r="O14" s="258" t="str">
        <f ca="1">IF(ISNUMBER(_xll.BDP($C$5&amp;$C12&amp;$E13&amp;" "&amp;O12&amp;" "&amp;$C$7,$G14,"UpdFreq="&amp;$A$3)),_xll.BDP($C$5&amp;$C12&amp;$E13&amp;" "&amp;O12&amp;" "&amp;$C$7,$G14,"UpdFreq="&amp;$A$3),"")</f>
        <v/>
      </c>
      <c r="P14" s="258" t="str">
        <f ca="1">IF(ISNUMBER(_xll.BDP($C$5&amp;$C12&amp;$E13&amp;" "&amp;P12&amp;" "&amp;$C$7,$G14,"UpdFreq="&amp;$A$3)),_xll.BDP($C$5&amp;$C12&amp;$E13&amp;" "&amp;P12&amp;" "&amp;$C$7,$G14,"UpdFreq="&amp;$A$3),"")</f>
        <v/>
      </c>
      <c r="Q14" s="258" t="str">
        <f ca="1">IF(ISNUMBER(_xll.BDP($C$5&amp;$C12&amp;$E13&amp;" "&amp;Q12&amp;" "&amp;$C$7,$G14,"UpdFreq="&amp;$A$3)),_xll.BDP($C$5&amp;$C12&amp;$E13&amp;" "&amp;Q12&amp;" "&amp;$C$7,$G14,"UpdFreq="&amp;$A$3),"")</f>
        <v/>
      </c>
      <c r="R14" s="258" t="str">
        <f ca="1">IF(ISNUMBER(_xll.BDP($C$5&amp;$C12&amp;$E13&amp;" "&amp;R12&amp;" "&amp;$C$7,$G14,"UpdFreq="&amp;$A$3)),_xll.BDP($C$5&amp;$C12&amp;$E13&amp;" "&amp;R12&amp;" "&amp;$C$7,$G14,"UpdFreq="&amp;$A$3),"")</f>
        <v/>
      </c>
      <c r="S14" s="258" t="str">
        <f ca="1">IF(ISNUMBER(_xll.BDP($C$5&amp;$C12&amp;$E13&amp;" "&amp;S12&amp;" "&amp;$C$7,$G14,"UpdFreq="&amp;$A$3)),_xll.BDP($C$5&amp;$C12&amp;$E13&amp;" "&amp;S12&amp;" "&amp;$C$7,$G14,"UpdFreq="&amp;$A$3),"")</f>
        <v/>
      </c>
      <c r="T14" s="259" t="str">
        <f ca="1">IF(ISNUMBER(_xll.BDP($C$5&amp;$C12&amp;$E13&amp;" "&amp;T12&amp;" "&amp;$C$7,$G14,"UpdFreq="&amp;$A$3)),_xll.BDP($C$5&amp;$C12&amp;$E13&amp;" "&amp;T12&amp;" "&amp;$C$7,$G14,"UpdFreq="&amp;$A$3),"")</f>
        <v/>
      </c>
    </row>
    <row r="15" spans="1:31">
      <c r="B15" s="247" t="s">
        <v>56</v>
      </c>
      <c r="C15" s="248" t="e">
        <f ca="1">_xll.BDP($C$5&amp;C12&amp;" "&amp;$C$7, G16)</f>
        <v>#NAME?</v>
      </c>
      <c r="E15" s="121" t="s">
        <v>185</v>
      </c>
      <c r="F15" s="265" t="s">
        <v>186</v>
      </c>
      <c r="G15" s="266" t="s">
        <v>56</v>
      </c>
      <c r="H15" s="257" t="str">
        <f ca="1">IF(ISNUMBER(_xll.BDP($C$5&amp;$C12&amp;$E15&amp;" "&amp;H12&amp;" "&amp;$C$7,$G15,"UpdFreq="&amp;$A$3)),_xll.BDP($C$5&amp;$C12&amp;$E15&amp;" "&amp;H12&amp;" "&amp;$C$7,$G15,"UpdFreq="&amp;$A$3),"")</f>
        <v/>
      </c>
      <c r="I15" s="258" t="str">
        <f ca="1">IF(ISNUMBER(_xll.BDP($C$5&amp;$C12&amp;$E15&amp;" "&amp;I12&amp;" "&amp;$C$7,$G15,"UpdFreq="&amp;$A$3)),_xll.BDP($C$5&amp;$C12&amp;$E15&amp;" "&amp;I12&amp;" "&amp;$C$7,$G15,"UpdFreq="&amp;$A$3),"")</f>
        <v/>
      </c>
      <c r="J15" s="258" t="str">
        <f ca="1">IF(ISNUMBER(_xll.BDP($C$5&amp;$C12&amp;$E15&amp;" "&amp;J12&amp;" "&amp;$C$7,$G15,"UpdFreq="&amp;$A$3)),_xll.BDP($C$5&amp;$C12&amp;$E15&amp;" "&amp;J12&amp;" "&amp;$C$7,$G15,"UpdFreq="&amp;$A$3),"")</f>
        <v/>
      </c>
      <c r="K15" s="258" t="str">
        <f ca="1">IF(ISNUMBER(_xll.BDP($C$5&amp;$C12&amp;$E15&amp;" "&amp;K12&amp;" "&amp;$C$7,$G15,"UpdFreq="&amp;$A$3)),_xll.BDP($C$5&amp;$C12&amp;$E15&amp;" "&amp;K12&amp;" "&amp;$C$7,$G15,"UpdFreq="&amp;$A$3),"")</f>
        <v/>
      </c>
      <c r="L15" s="258" t="str">
        <f ca="1">IF(ISNUMBER(_xll.BDP($C$5&amp;$C12&amp;$E15&amp;" "&amp;L12&amp;" "&amp;$C$7,$G15,"UpdFreq="&amp;$A$3)),_xll.BDP($C$5&amp;$C12&amp;$E15&amp;" "&amp;L12&amp;" "&amp;$C$7,$G15,"UpdFreq="&amp;$A$3),"")</f>
        <v/>
      </c>
      <c r="M15" s="258" t="str">
        <f ca="1">IF(ISNUMBER(_xll.BDP($C$5&amp;$C12&amp;$E15&amp;" "&amp;M12&amp;" "&amp;$C$7,$G15,"UpdFreq="&amp;$A$3)),_xll.BDP($C$5&amp;$C12&amp;$E15&amp;" "&amp;M12&amp;" "&amp;$C$7,$G15,"UpdFreq="&amp;$A$3),"")</f>
        <v/>
      </c>
      <c r="N15" s="258" t="str">
        <f ca="1">IF(ISNUMBER(_xll.BDP($C$5&amp;$C12&amp;$E15&amp;" "&amp;N12&amp;" "&amp;$C$7,$G15,"UpdFreq="&amp;$A$3)),_xll.BDP($C$5&amp;$C12&amp;$E15&amp;" "&amp;N12&amp;" "&amp;$C$7,$G15,"UpdFreq="&amp;$A$3),"")</f>
        <v/>
      </c>
      <c r="O15" s="258" t="str">
        <f ca="1">IF(ISNUMBER(_xll.BDP($C$5&amp;$C12&amp;$E15&amp;" "&amp;O12&amp;" "&amp;$C$7,$G15,"UpdFreq="&amp;$A$3)),_xll.BDP($C$5&amp;$C12&amp;$E15&amp;" "&amp;O12&amp;" "&amp;$C$7,$G15,"UpdFreq="&amp;$A$3),"")</f>
        <v/>
      </c>
      <c r="P15" s="258" t="str">
        <f ca="1">IF(ISNUMBER(_xll.BDP($C$5&amp;$C12&amp;$E15&amp;" "&amp;P12&amp;" "&amp;$C$7,$G15,"UpdFreq="&amp;$A$3)),_xll.BDP($C$5&amp;$C12&amp;$E15&amp;" "&amp;P12&amp;" "&amp;$C$7,$G15,"UpdFreq="&amp;$A$3),"")</f>
        <v/>
      </c>
      <c r="Q15" s="258" t="str">
        <f ca="1">IF(ISNUMBER(_xll.BDP($C$5&amp;$C12&amp;$E15&amp;" "&amp;Q12&amp;" "&amp;$C$7,$G15,"UpdFreq="&amp;$A$3)),_xll.BDP($C$5&amp;$C12&amp;$E15&amp;" "&amp;Q12&amp;" "&amp;$C$7,$G15,"UpdFreq="&amp;$A$3),"")</f>
        <v/>
      </c>
      <c r="R15" s="258" t="str">
        <f ca="1">IF(ISNUMBER(_xll.BDP($C$5&amp;$C12&amp;$E15&amp;" "&amp;R12&amp;" "&amp;$C$7,$G15,"UpdFreq="&amp;$A$3)),_xll.BDP($C$5&amp;$C12&amp;$E15&amp;" "&amp;R12&amp;" "&amp;$C$7,$G15,"UpdFreq="&amp;$A$3),"")</f>
        <v/>
      </c>
      <c r="S15" s="258" t="str">
        <f ca="1">IF(ISNUMBER(_xll.BDP($C$5&amp;$C12&amp;$E15&amp;" "&amp;S12&amp;" "&amp;$C$7,$G15,"UpdFreq="&amp;$A$3)),_xll.BDP($C$5&amp;$C12&amp;$E15&amp;" "&amp;S12&amp;" "&amp;$C$7,$G15,"UpdFreq="&amp;$A$3),"")</f>
        <v/>
      </c>
      <c r="T15" s="259" t="str">
        <f ca="1">IF(ISNUMBER(_xll.BDP($C$5&amp;$C12&amp;$E15&amp;" "&amp;T12&amp;" "&amp;$C$7,$G15,"UpdFreq="&amp;$A$3)),_xll.BDP($C$5&amp;$C12&amp;$E15&amp;" "&amp;T12&amp;" "&amp;$C$7,$G15,"UpdFreq="&amp;$A$3),"")</f>
        <v/>
      </c>
    </row>
    <row r="16" spans="1:31" ht="13.5" thickBot="1">
      <c r="B16" s="249" t="s">
        <v>187</v>
      </c>
      <c r="C16" s="250" t="e">
        <f ca="1">IF(ISNUMBER($N13),_xll.BDP($C$5&amp;$C12&amp;$E13&amp;" "&amp;N12&amp;" "&amp;$C$7,"OPT_EXPIRE_DT"),_xll.BDP($C$5&amp;$C12&amp;$E13&amp;" "&amp;M12&amp;" "&amp;$C$7,"OPT_EXPIRE_DT"))</f>
        <v>#NAME?</v>
      </c>
      <c r="F16" s="267"/>
      <c r="G16" s="268" t="s">
        <v>57</v>
      </c>
      <c r="H16" s="260" t="str">
        <f ca="1">IF(ISNUMBER(_xll.BDP($C$5&amp;$C12&amp;$E15&amp;" "&amp;H12&amp;" "&amp;$C$7,$G16,"UpdFreq="&amp;$A$3)),_xll.BDP($C$5&amp;$C12&amp;$E15&amp;" "&amp;H12&amp;" "&amp;$C$7,$G16,"UpdFreq="&amp;$A$3),"")</f>
        <v/>
      </c>
      <c r="I16" s="261" t="str">
        <f ca="1">IF(ISNUMBER(_xll.BDP($C$5&amp;$C12&amp;$E15&amp;" "&amp;I12&amp;" "&amp;$C$7,$G16,"UpdFreq="&amp;$A$3)),_xll.BDP($C$5&amp;$C12&amp;$E15&amp;" "&amp;I12&amp;" "&amp;$C$7,$G16,"UpdFreq="&amp;$A$3),"")</f>
        <v/>
      </c>
      <c r="J16" s="261" t="str">
        <f ca="1">IF(ISNUMBER(_xll.BDP($C$5&amp;$C12&amp;$E15&amp;" "&amp;J12&amp;" "&amp;$C$7,$G16,"UpdFreq="&amp;$A$3)),_xll.BDP($C$5&amp;$C12&amp;$E15&amp;" "&amp;J12&amp;" "&amp;$C$7,$G16,"UpdFreq="&amp;$A$3),"")</f>
        <v/>
      </c>
      <c r="K16" s="261" t="str">
        <f ca="1">IF(ISNUMBER(_xll.BDP($C$5&amp;$C12&amp;$E15&amp;" "&amp;K12&amp;" "&amp;$C$7,$G16,"UpdFreq="&amp;$A$3)),_xll.BDP($C$5&amp;$C12&amp;$E15&amp;" "&amp;K12&amp;" "&amp;$C$7,$G16,"UpdFreq="&amp;$A$3),"")</f>
        <v/>
      </c>
      <c r="L16" s="261" t="str">
        <f ca="1">IF(ISNUMBER(_xll.BDP($C$5&amp;$C12&amp;$E15&amp;" "&amp;L12&amp;" "&amp;$C$7,$G16,"UpdFreq="&amp;$A$3)),_xll.BDP($C$5&amp;$C12&amp;$E15&amp;" "&amp;L12&amp;" "&amp;$C$7,$G16,"UpdFreq="&amp;$A$3),"")</f>
        <v/>
      </c>
      <c r="M16" s="261" t="str">
        <f ca="1">IF(ISNUMBER(_xll.BDP($C$5&amp;$C12&amp;$E15&amp;" "&amp;M12&amp;" "&amp;$C$7,$G16,"UpdFreq="&amp;$A$3)),_xll.BDP($C$5&amp;$C12&amp;$E15&amp;" "&amp;M12&amp;" "&amp;$C$7,$G16,"UpdFreq="&amp;$A$3),"")</f>
        <v/>
      </c>
      <c r="N16" s="261" t="str">
        <f ca="1">IF(ISNUMBER(_xll.BDP($C$5&amp;$C12&amp;$E15&amp;" "&amp;N12&amp;" "&amp;$C$7,$G16,"UpdFreq="&amp;$A$3)),_xll.BDP($C$5&amp;$C12&amp;$E15&amp;" "&amp;N12&amp;" "&amp;$C$7,$G16,"UpdFreq="&amp;$A$3),"")</f>
        <v/>
      </c>
      <c r="O16" s="261" t="str">
        <f ca="1">IF(ISNUMBER(_xll.BDP($C$5&amp;$C12&amp;$E15&amp;" "&amp;O12&amp;" "&amp;$C$7,$G16,"UpdFreq="&amp;$A$3)),_xll.BDP($C$5&amp;$C12&amp;$E15&amp;" "&amp;O12&amp;" "&amp;$C$7,$G16,"UpdFreq="&amp;$A$3),"")</f>
        <v/>
      </c>
      <c r="P16" s="261" t="str">
        <f ca="1">IF(ISNUMBER(_xll.BDP($C$5&amp;$C12&amp;$E15&amp;" "&amp;P12&amp;" "&amp;$C$7,$G16,"UpdFreq="&amp;$A$3)),_xll.BDP($C$5&amp;$C12&amp;$E15&amp;" "&amp;P12&amp;" "&amp;$C$7,$G16,"UpdFreq="&amp;$A$3),"")</f>
        <v/>
      </c>
      <c r="Q16" s="261" t="str">
        <f ca="1">IF(ISNUMBER(_xll.BDP($C$5&amp;$C12&amp;$E15&amp;" "&amp;Q12&amp;" "&amp;$C$7,$G16,"UpdFreq="&amp;$A$3)),_xll.BDP($C$5&amp;$C12&amp;$E15&amp;" "&amp;Q12&amp;" "&amp;$C$7,$G16,"UpdFreq="&amp;$A$3),"")</f>
        <v/>
      </c>
      <c r="R16" s="261" t="str">
        <f ca="1">IF(ISNUMBER(_xll.BDP($C$5&amp;$C12&amp;$E15&amp;" "&amp;R12&amp;" "&amp;$C$7,$G16,"UpdFreq="&amp;$A$3)),_xll.BDP($C$5&amp;$C12&amp;$E15&amp;" "&amp;R12&amp;" "&amp;$C$7,$G16,"UpdFreq="&amp;$A$3),"")</f>
        <v/>
      </c>
      <c r="S16" s="261" t="str">
        <f ca="1">IF(ISNUMBER(_xll.BDP($C$5&amp;$C12&amp;$E15&amp;" "&amp;S12&amp;" "&amp;$C$7,$G16,"UpdFreq="&amp;$A$3)),_xll.BDP($C$5&amp;$C12&amp;$E15&amp;" "&amp;S12&amp;" "&amp;$C$7,$G16,"UpdFreq="&amp;$A$3),"")</f>
        <v/>
      </c>
      <c r="T16" s="262" t="str">
        <f ca="1">IF(ISNUMBER(_xll.BDP($C$5&amp;$C12&amp;$E15&amp;" "&amp;T12&amp;" "&amp;$C$7,$G16,"UpdFreq="&amp;$A$3)),_xll.BDP($C$5&amp;$C12&amp;$E15&amp;" "&amp;T12&amp;" "&amp;$C$7,$G16,"UpdFreq="&amp;$A$3),"")</f>
        <v/>
      </c>
    </row>
    <row r="17" spans="2:20" ht="13.5" thickBot="1">
      <c r="C17" s="219"/>
      <c r="G17" s="121"/>
      <c r="H17" s="121"/>
      <c r="K17" s="121"/>
    </row>
    <row r="18" spans="2:20" ht="13.5" thickBot="1">
      <c r="B18" s="241" t="s">
        <v>181</v>
      </c>
      <c r="C18" s="242" t="s">
        <v>189</v>
      </c>
      <c r="G18" s="121"/>
      <c r="H18" s="251" t="e">
        <f t="shared" ref="H18:M18" ca="1" si="2">I18-$C$6</f>
        <v>#NAME?</v>
      </c>
      <c r="I18" s="252" t="e">
        <f t="shared" ca="1" si="2"/>
        <v>#NAME?</v>
      </c>
      <c r="J18" s="252" t="e">
        <f t="shared" ca="1" si="2"/>
        <v>#NAME?</v>
      </c>
      <c r="K18" s="252" t="e">
        <f t="shared" ca="1" si="2"/>
        <v>#NAME?</v>
      </c>
      <c r="L18" s="252" t="e">
        <f t="shared" ca="1" si="2"/>
        <v>#NAME?</v>
      </c>
      <c r="M18" s="252" t="e">
        <f t="shared" ca="1" si="2"/>
        <v>#NAME?</v>
      </c>
      <c r="N18" s="253" t="e">
        <f ca="1">ROUND($C19/($C$6),0)*$C$6</f>
        <v>#NAME?</v>
      </c>
      <c r="O18" s="252" t="e">
        <f t="shared" ref="O18:T18" ca="1" si="3">N18+$C$6</f>
        <v>#NAME?</v>
      </c>
      <c r="P18" s="252" t="e">
        <f t="shared" ca="1" si="3"/>
        <v>#NAME?</v>
      </c>
      <c r="Q18" s="252" t="e">
        <f t="shared" ca="1" si="3"/>
        <v>#NAME?</v>
      </c>
      <c r="R18" s="252" t="e">
        <f t="shared" ca="1" si="3"/>
        <v>#NAME?</v>
      </c>
      <c r="S18" s="252" t="e">
        <f t="shared" ca="1" si="3"/>
        <v>#NAME?</v>
      </c>
      <c r="T18" s="252" t="e">
        <f t="shared" ca="1" si="3"/>
        <v>#NAME?</v>
      </c>
    </row>
    <row r="19" spans="2:20">
      <c r="B19" s="243" t="s">
        <v>182</v>
      </c>
      <c r="C19" s="244" t="e">
        <f ca="1">AVERAGE(C20:C21)</f>
        <v>#NAME?</v>
      </c>
      <c r="E19" s="121" t="s">
        <v>183</v>
      </c>
      <c r="F19" s="263" t="s">
        <v>184</v>
      </c>
      <c r="G19" s="264" t="s">
        <v>56</v>
      </c>
      <c r="H19" s="254" t="str">
        <f ca="1">IF(ISNUMBER(_xll.BDP($C$5&amp;$C18&amp;$E19&amp;" "&amp;H18&amp;" "&amp;$C$7,$G19,"UpdFreq="&amp;$A$3)),_xll.BDP($C$5&amp;$C18&amp;$E19&amp;" "&amp;H18&amp;" "&amp;$C$7,$G19,"UpdFreq="&amp;$A$3),"")</f>
        <v/>
      </c>
      <c r="I19" s="255" t="str">
        <f ca="1">IF(ISNUMBER(_xll.BDP($C$5&amp;$C18&amp;$E19&amp;" "&amp;I18&amp;" "&amp;$C$7,$G19,"UpdFreq="&amp;$A$3)),_xll.BDP($C$5&amp;$C18&amp;$E19&amp;" "&amp;I18&amp;" "&amp;$C$7,$G19,"UpdFreq="&amp;$A$3),"")</f>
        <v/>
      </c>
      <c r="J19" s="255" t="str">
        <f ca="1">IF(ISNUMBER(_xll.BDP($C$5&amp;$C18&amp;$E19&amp;" "&amp;J18&amp;" "&amp;$C$7,$G19,"UpdFreq="&amp;$A$3)),_xll.BDP($C$5&amp;$C18&amp;$E19&amp;" "&amp;J18&amp;" "&amp;$C$7,$G19,"UpdFreq="&amp;$A$3),"")</f>
        <v/>
      </c>
      <c r="K19" s="255" t="str">
        <f ca="1">IF(ISNUMBER(_xll.BDP($C$5&amp;$C18&amp;$E19&amp;" "&amp;K18&amp;" "&amp;$C$7,$G19,"UpdFreq="&amp;$A$3)),_xll.BDP($C$5&amp;$C18&amp;$E19&amp;" "&amp;K18&amp;" "&amp;$C$7,$G19,"UpdFreq="&amp;$A$3),"")</f>
        <v/>
      </c>
      <c r="L19" s="255" t="str">
        <f ca="1">IF(ISNUMBER(_xll.BDP($C$5&amp;$C18&amp;$E19&amp;" "&amp;L18&amp;" "&amp;$C$7,$G19,"UpdFreq="&amp;$A$3)),_xll.BDP($C$5&amp;$C18&amp;$E19&amp;" "&amp;L18&amp;" "&amp;$C$7,$G19,"UpdFreq="&amp;$A$3),"")</f>
        <v/>
      </c>
      <c r="M19" s="255" t="str">
        <f ca="1">IF(ISNUMBER(_xll.BDP($C$5&amp;$C18&amp;$E19&amp;" "&amp;M18&amp;" "&amp;$C$7,$G19,"UpdFreq="&amp;$A$3)),_xll.BDP($C$5&amp;$C18&amp;$E19&amp;" "&amp;M18&amp;" "&amp;$C$7,$G19,"UpdFreq="&amp;$A$3),"")</f>
        <v/>
      </c>
      <c r="N19" s="255" t="str">
        <f ca="1">IF(ISNUMBER(_xll.BDP($C$5&amp;$C18&amp;$E19&amp;" "&amp;N18&amp;" "&amp;$C$7,$G19,"UpdFreq="&amp;$A$3)),_xll.BDP($C$5&amp;$C18&amp;$E19&amp;" "&amp;N18&amp;" "&amp;$C$7,$G19,"UpdFreq="&amp;$A$3),"")</f>
        <v/>
      </c>
      <c r="O19" s="255" t="str">
        <f ca="1">IF(ISNUMBER(_xll.BDP($C$5&amp;$C18&amp;$E19&amp;" "&amp;O18&amp;" "&amp;$C$7,$G19,"UpdFreq="&amp;$A$3)),_xll.BDP($C$5&amp;$C18&amp;$E19&amp;" "&amp;O18&amp;" "&amp;$C$7,$G19,"UpdFreq="&amp;$A$3),"")</f>
        <v/>
      </c>
      <c r="P19" s="255" t="str">
        <f ca="1">IF(ISNUMBER(_xll.BDP($C$5&amp;$C18&amp;$E19&amp;" "&amp;P18&amp;" "&amp;$C$7,$G19,"UpdFreq="&amp;$A$3)),_xll.BDP($C$5&amp;$C18&amp;$E19&amp;" "&amp;P18&amp;" "&amp;$C$7,$G19,"UpdFreq="&amp;$A$3),"")</f>
        <v/>
      </c>
      <c r="Q19" s="255" t="str">
        <f ca="1">IF(ISNUMBER(_xll.BDP($C$5&amp;$C18&amp;$E19&amp;" "&amp;Q18&amp;" "&amp;$C$7,$G19,"UpdFreq="&amp;$A$3)),_xll.BDP($C$5&amp;$C18&amp;$E19&amp;" "&amp;Q18&amp;" "&amp;$C$7,$G19,"UpdFreq="&amp;$A$3),"")</f>
        <v/>
      </c>
      <c r="R19" s="255" t="str">
        <f ca="1">IF(ISNUMBER(_xll.BDP($C$5&amp;$C18&amp;$E19&amp;" "&amp;R18&amp;" "&amp;$C$7,$G19,"UpdFreq="&amp;$A$3)),_xll.BDP($C$5&amp;$C18&amp;$E19&amp;" "&amp;R18&amp;" "&amp;$C$7,$G19,"UpdFreq="&amp;$A$3),"")</f>
        <v/>
      </c>
      <c r="S19" s="255" t="str">
        <f ca="1">IF(ISNUMBER(_xll.BDP($C$5&amp;$C18&amp;$E19&amp;" "&amp;S18&amp;" "&amp;$C$7,$G19,"UpdFreq="&amp;$A$3)),_xll.BDP($C$5&amp;$C18&amp;$E19&amp;" "&amp;S18&amp;" "&amp;$C$7,$G19,"UpdFreq="&amp;$A$3),"")</f>
        <v/>
      </c>
      <c r="T19" s="256" t="str">
        <f ca="1">IF(ISNUMBER(_xll.BDP($C$5&amp;$C18&amp;$E19&amp;" "&amp;T18&amp;" "&amp;$C$7,$G19,"UpdFreq="&amp;$A$3)),_xll.BDP($C$5&amp;$C18&amp;$E19&amp;" "&amp;T18&amp;" "&amp;$C$7,$G19,"UpdFreq="&amp;$A$3),"")</f>
        <v/>
      </c>
    </row>
    <row r="20" spans="2:20">
      <c r="B20" s="245" t="s">
        <v>57</v>
      </c>
      <c r="C20" s="246" t="e">
        <f ca="1">_xll.BDP($C$5&amp;C18&amp;" "&amp;$C$7, G21)</f>
        <v>#NAME?</v>
      </c>
      <c r="F20" s="265"/>
      <c r="G20" s="266" t="s">
        <v>57</v>
      </c>
      <c r="H20" s="257" t="str">
        <f ca="1">IF(ISNUMBER(_xll.BDP($C$5&amp;$C18&amp;$E19&amp;" "&amp;H18&amp;" "&amp;$C$7,$G20,"UpdFreq="&amp;$A$3)),_xll.BDP($C$5&amp;$C18&amp;$E19&amp;" "&amp;H18&amp;" "&amp;$C$7,$G20,"UpdFreq="&amp;$A$3),"")</f>
        <v/>
      </c>
      <c r="I20" s="258" t="str">
        <f ca="1">IF(ISNUMBER(_xll.BDP($C$5&amp;$C18&amp;$E19&amp;" "&amp;I18&amp;" "&amp;$C$7,$G20,"UpdFreq="&amp;$A$3)),_xll.BDP($C$5&amp;$C18&amp;$E19&amp;" "&amp;I18&amp;" "&amp;$C$7,$G20,"UpdFreq="&amp;$A$3),"")</f>
        <v/>
      </c>
      <c r="J20" s="258" t="str">
        <f ca="1">IF(ISNUMBER(_xll.BDP($C$5&amp;$C18&amp;$E19&amp;" "&amp;J18&amp;" "&amp;$C$7,$G20,"UpdFreq="&amp;$A$3)),_xll.BDP($C$5&amp;$C18&amp;$E19&amp;" "&amp;J18&amp;" "&amp;$C$7,$G20,"UpdFreq="&amp;$A$3),"")</f>
        <v/>
      </c>
      <c r="K20" s="258" t="str">
        <f ca="1">IF(ISNUMBER(_xll.BDP($C$5&amp;$C18&amp;$E19&amp;" "&amp;K18&amp;" "&amp;$C$7,$G20,"UpdFreq="&amp;$A$3)),_xll.BDP($C$5&amp;$C18&amp;$E19&amp;" "&amp;K18&amp;" "&amp;$C$7,$G20,"UpdFreq="&amp;$A$3),"")</f>
        <v/>
      </c>
      <c r="L20" s="258" t="str">
        <f ca="1">IF(ISNUMBER(_xll.BDP($C$5&amp;$C18&amp;$E19&amp;" "&amp;L18&amp;" "&amp;$C$7,$G20,"UpdFreq="&amp;$A$3)),_xll.BDP($C$5&amp;$C18&amp;$E19&amp;" "&amp;L18&amp;" "&amp;$C$7,$G20,"UpdFreq="&amp;$A$3),"")</f>
        <v/>
      </c>
      <c r="M20" s="258" t="str">
        <f ca="1">IF(ISNUMBER(_xll.BDP($C$5&amp;$C18&amp;$E19&amp;" "&amp;M18&amp;" "&amp;$C$7,$G20,"UpdFreq="&amp;$A$3)),_xll.BDP($C$5&amp;$C18&amp;$E19&amp;" "&amp;M18&amp;" "&amp;$C$7,$G20,"UpdFreq="&amp;$A$3),"")</f>
        <v/>
      </c>
      <c r="N20" s="258" t="str">
        <f ca="1">IF(ISNUMBER(_xll.BDP($C$5&amp;$C18&amp;$E19&amp;" "&amp;N18&amp;" "&amp;$C$7,$G20,"UpdFreq="&amp;$A$3)),_xll.BDP($C$5&amp;$C18&amp;$E19&amp;" "&amp;N18&amp;" "&amp;$C$7,$G20,"UpdFreq="&amp;$A$3),"")</f>
        <v/>
      </c>
      <c r="O20" s="258" t="str">
        <f ca="1">IF(ISNUMBER(_xll.BDP($C$5&amp;$C18&amp;$E19&amp;" "&amp;O18&amp;" "&amp;$C$7,$G20,"UpdFreq="&amp;$A$3)),_xll.BDP($C$5&amp;$C18&amp;$E19&amp;" "&amp;O18&amp;" "&amp;$C$7,$G20,"UpdFreq="&amp;$A$3),"")</f>
        <v/>
      </c>
      <c r="P20" s="258" t="str">
        <f ca="1">IF(ISNUMBER(_xll.BDP($C$5&amp;$C18&amp;$E19&amp;" "&amp;P18&amp;" "&amp;$C$7,$G20,"UpdFreq="&amp;$A$3)),_xll.BDP($C$5&amp;$C18&amp;$E19&amp;" "&amp;P18&amp;" "&amp;$C$7,$G20,"UpdFreq="&amp;$A$3),"")</f>
        <v/>
      </c>
      <c r="Q20" s="258" t="str">
        <f ca="1">IF(ISNUMBER(_xll.BDP($C$5&amp;$C18&amp;$E19&amp;" "&amp;Q18&amp;" "&amp;$C$7,$G20,"UpdFreq="&amp;$A$3)),_xll.BDP($C$5&amp;$C18&amp;$E19&amp;" "&amp;Q18&amp;" "&amp;$C$7,$G20,"UpdFreq="&amp;$A$3),"")</f>
        <v/>
      </c>
      <c r="R20" s="258" t="str">
        <f ca="1">IF(ISNUMBER(_xll.BDP($C$5&amp;$C18&amp;$E19&amp;" "&amp;R18&amp;" "&amp;$C$7,$G20,"UpdFreq="&amp;$A$3)),_xll.BDP($C$5&amp;$C18&amp;$E19&amp;" "&amp;R18&amp;" "&amp;$C$7,$G20,"UpdFreq="&amp;$A$3),"")</f>
        <v/>
      </c>
      <c r="S20" s="258" t="str">
        <f ca="1">IF(ISNUMBER(_xll.BDP($C$5&amp;$C18&amp;$E19&amp;" "&amp;S18&amp;" "&amp;$C$7,$G20,"UpdFreq="&amp;$A$3)),_xll.BDP($C$5&amp;$C18&amp;$E19&amp;" "&amp;S18&amp;" "&amp;$C$7,$G20,"UpdFreq="&amp;$A$3),"")</f>
        <v/>
      </c>
      <c r="T20" s="259" t="str">
        <f ca="1">IF(ISNUMBER(_xll.BDP($C$5&amp;$C18&amp;$E19&amp;" "&amp;T18&amp;" "&amp;$C$7,$G20,"UpdFreq="&amp;$A$3)),_xll.BDP($C$5&amp;$C18&amp;$E19&amp;" "&amp;T18&amp;" "&amp;$C$7,$G20,"UpdFreq="&amp;$A$3),"")</f>
        <v/>
      </c>
    </row>
    <row r="21" spans="2:20">
      <c r="B21" s="247" t="s">
        <v>56</v>
      </c>
      <c r="C21" s="248" t="e">
        <f ca="1">_xll.BDP($C$5&amp;C18&amp;" "&amp;$C$7, G22)</f>
        <v>#NAME?</v>
      </c>
      <c r="E21" s="121" t="s">
        <v>185</v>
      </c>
      <c r="F21" s="265" t="s">
        <v>186</v>
      </c>
      <c r="G21" s="266" t="s">
        <v>56</v>
      </c>
      <c r="H21" s="257" t="str">
        <f ca="1">IF(ISNUMBER(_xll.BDP($C$5&amp;$C18&amp;$E21&amp;" "&amp;H18&amp;" "&amp;$C$7,$G21,"UpdFreq="&amp;$A$3)),_xll.BDP($C$5&amp;$C18&amp;$E21&amp;" "&amp;H18&amp;" "&amp;$C$7,$G21,"UpdFreq="&amp;$A$3),"")</f>
        <v/>
      </c>
      <c r="I21" s="258" t="str">
        <f ca="1">IF(ISNUMBER(_xll.BDP($C$5&amp;$C18&amp;$E21&amp;" "&amp;I18&amp;" "&amp;$C$7,$G21,"UpdFreq="&amp;$A$3)),_xll.BDP($C$5&amp;$C18&amp;$E21&amp;" "&amp;I18&amp;" "&amp;$C$7,$G21,"UpdFreq="&amp;$A$3),"")</f>
        <v/>
      </c>
      <c r="J21" s="258" t="str">
        <f ca="1">IF(ISNUMBER(_xll.BDP($C$5&amp;$C18&amp;$E21&amp;" "&amp;J18&amp;" "&amp;$C$7,$G21,"UpdFreq="&amp;$A$3)),_xll.BDP($C$5&amp;$C18&amp;$E21&amp;" "&amp;J18&amp;" "&amp;$C$7,$G21,"UpdFreq="&amp;$A$3),"")</f>
        <v/>
      </c>
      <c r="K21" s="258" t="str">
        <f ca="1">IF(ISNUMBER(_xll.BDP($C$5&amp;$C18&amp;$E21&amp;" "&amp;K18&amp;" "&amp;$C$7,$G21,"UpdFreq="&amp;$A$3)),_xll.BDP($C$5&amp;$C18&amp;$E21&amp;" "&amp;K18&amp;" "&amp;$C$7,$G21,"UpdFreq="&amp;$A$3),"")</f>
        <v/>
      </c>
      <c r="L21" s="258" t="str">
        <f ca="1">IF(ISNUMBER(_xll.BDP($C$5&amp;$C18&amp;$E21&amp;" "&amp;L18&amp;" "&amp;$C$7,$G21,"UpdFreq="&amp;$A$3)),_xll.BDP($C$5&amp;$C18&amp;$E21&amp;" "&amp;L18&amp;" "&amp;$C$7,$G21,"UpdFreq="&amp;$A$3),"")</f>
        <v/>
      </c>
      <c r="M21" s="258" t="str">
        <f ca="1">IF(ISNUMBER(_xll.BDP($C$5&amp;$C18&amp;$E21&amp;" "&amp;M18&amp;" "&amp;$C$7,$G21,"UpdFreq="&amp;$A$3)),_xll.BDP($C$5&amp;$C18&amp;$E21&amp;" "&amp;M18&amp;" "&amp;$C$7,$G21,"UpdFreq="&amp;$A$3),"")</f>
        <v/>
      </c>
      <c r="N21" s="258" t="str">
        <f ca="1">IF(ISNUMBER(_xll.BDP($C$5&amp;$C18&amp;$E21&amp;" "&amp;N18&amp;" "&amp;$C$7,$G21,"UpdFreq="&amp;$A$3)),_xll.BDP($C$5&amp;$C18&amp;$E21&amp;" "&amp;N18&amp;" "&amp;$C$7,$G21,"UpdFreq="&amp;$A$3),"")</f>
        <v/>
      </c>
      <c r="O21" s="258" t="str">
        <f ca="1">IF(ISNUMBER(_xll.BDP($C$5&amp;$C18&amp;$E21&amp;" "&amp;O18&amp;" "&amp;$C$7,$G21,"UpdFreq="&amp;$A$3)),_xll.BDP($C$5&amp;$C18&amp;$E21&amp;" "&amp;O18&amp;" "&amp;$C$7,$G21,"UpdFreq="&amp;$A$3),"")</f>
        <v/>
      </c>
      <c r="P21" s="258" t="str">
        <f ca="1">IF(ISNUMBER(_xll.BDP($C$5&amp;$C18&amp;$E21&amp;" "&amp;P18&amp;" "&amp;$C$7,$G21,"UpdFreq="&amp;$A$3)),_xll.BDP($C$5&amp;$C18&amp;$E21&amp;" "&amp;P18&amp;" "&amp;$C$7,$G21,"UpdFreq="&amp;$A$3),"")</f>
        <v/>
      </c>
      <c r="Q21" s="258" t="str">
        <f ca="1">IF(ISNUMBER(_xll.BDP($C$5&amp;$C18&amp;$E21&amp;" "&amp;Q18&amp;" "&amp;$C$7,$G21,"UpdFreq="&amp;$A$3)),_xll.BDP($C$5&amp;$C18&amp;$E21&amp;" "&amp;Q18&amp;" "&amp;$C$7,$G21,"UpdFreq="&amp;$A$3),"")</f>
        <v/>
      </c>
      <c r="R21" s="258" t="str">
        <f ca="1">IF(ISNUMBER(_xll.BDP($C$5&amp;$C18&amp;$E21&amp;" "&amp;R18&amp;" "&amp;$C$7,$G21,"UpdFreq="&amp;$A$3)),_xll.BDP($C$5&amp;$C18&amp;$E21&amp;" "&amp;R18&amp;" "&amp;$C$7,$G21,"UpdFreq="&amp;$A$3),"")</f>
        <v/>
      </c>
      <c r="S21" s="258" t="str">
        <f ca="1">IF(ISNUMBER(_xll.BDP($C$5&amp;$C18&amp;$E21&amp;" "&amp;S18&amp;" "&amp;$C$7,$G21,"UpdFreq="&amp;$A$3)),_xll.BDP($C$5&amp;$C18&amp;$E21&amp;" "&amp;S18&amp;" "&amp;$C$7,$G21,"UpdFreq="&amp;$A$3),"")</f>
        <v/>
      </c>
      <c r="T21" s="259" t="str">
        <f ca="1">IF(ISNUMBER(_xll.BDP($C$5&amp;$C18&amp;$E21&amp;" "&amp;T18&amp;" "&amp;$C$7,$G21,"UpdFreq="&amp;$A$3)),_xll.BDP($C$5&amp;$C18&amp;$E21&amp;" "&amp;T18&amp;" "&amp;$C$7,$G21,"UpdFreq="&amp;$A$3),"")</f>
        <v/>
      </c>
    </row>
    <row r="22" spans="2:20" ht="13.5" thickBot="1">
      <c r="B22" s="249" t="s">
        <v>187</v>
      </c>
      <c r="C22" s="250" t="e">
        <f ca="1">IF(ISNUMBER($N19),_xll.BDP($C$5&amp;$C18&amp;$E19&amp;" "&amp;N18&amp;" "&amp;$C$7,"OPT_EXPIRE_DT"),_xll.BDP($C$5&amp;$C18&amp;$E19&amp;" "&amp;M18&amp;" "&amp;$C$7,"OPT_EXPIRE_DT"))</f>
        <v>#NAME?</v>
      </c>
      <c r="F22" s="267"/>
      <c r="G22" s="268" t="s">
        <v>57</v>
      </c>
      <c r="H22" s="260" t="str">
        <f ca="1">IF(ISNUMBER(_xll.BDP($C$5&amp;$C18&amp;$E21&amp;" "&amp;H18&amp;" "&amp;$C$7,$G22,"UpdFreq="&amp;$A$3)),_xll.BDP($C$5&amp;$C18&amp;$E21&amp;" "&amp;H18&amp;" "&amp;$C$7,$G22,"UpdFreq="&amp;$A$3),"")</f>
        <v/>
      </c>
      <c r="I22" s="261" t="str">
        <f ca="1">IF(ISNUMBER(_xll.BDP($C$5&amp;$C18&amp;$E21&amp;" "&amp;I18&amp;" "&amp;$C$7,$G22,"UpdFreq="&amp;$A$3)),_xll.BDP($C$5&amp;$C18&amp;$E21&amp;" "&amp;I18&amp;" "&amp;$C$7,$G22,"UpdFreq="&amp;$A$3),"")</f>
        <v/>
      </c>
      <c r="J22" s="261" t="str">
        <f ca="1">IF(ISNUMBER(_xll.BDP($C$5&amp;$C18&amp;$E21&amp;" "&amp;J18&amp;" "&amp;$C$7,$G22,"UpdFreq="&amp;$A$3)),_xll.BDP($C$5&amp;$C18&amp;$E21&amp;" "&amp;J18&amp;" "&amp;$C$7,$G22,"UpdFreq="&amp;$A$3),"")</f>
        <v/>
      </c>
      <c r="K22" s="261" t="str">
        <f ca="1">IF(ISNUMBER(_xll.BDP($C$5&amp;$C18&amp;$E21&amp;" "&amp;K18&amp;" "&amp;$C$7,$G22,"UpdFreq="&amp;$A$3)),_xll.BDP($C$5&amp;$C18&amp;$E21&amp;" "&amp;K18&amp;" "&amp;$C$7,$G22,"UpdFreq="&amp;$A$3),"")</f>
        <v/>
      </c>
      <c r="L22" s="261" t="str">
        <f ca="1">IF(ISNUMBER(_xll.BDP($C$5&amp;$C18&amp;$E21&amp;" "&amp;L18&amp;" "&amp;$C$7,$G22,"UpdFreq="&amp;$A$3)),_xll.BDP($C$5&amp;$C18&amp;$E21&amp;" "&amp;L18&amp;" "&amp;$C$7,$G22,"UpdFreq="&amp;$A$3),"")</f>
        <v/>
      </c>
      <c r="M22" s="261" t="str">
        <f ca="1">IF(ISNUMBER(_xll.BDP($C$5&amp;$C18&amp;$E21&amp;" "&amp;M18&amp;" "&amp;$C$7,$G22,"UpdFreq="&amp;$A$3)),_xll.BDP($C$5&amp;$C18&amp;$E21&amp;" "&amp;M18&amp;" "&amp;$C$7,$G22,"UpdFreq="&amp;$A$3),"")</f>
        <v/>
      </c>
      <c r="N22" s="261" t="str">
        <f ca="1">IF(ISNUMBER(_xll.BDP($C$5&amp;$C18&amp;$E21&amp;" "&amp;N18&amp;" "&amp;$C$7,$G22,"UpdFreq="&amp;$A$3)),_xll.BDP($C$5&amp;$C18&amp;$E21&amp;" "&amp;N18&amp;" "&amp;$C$7,$G22,"UpdFreq="&amp;$A$3),"")</f>
        <v/>
      </c>
      <c r="O22" s="261" t="str">
        <f ca="1">IF(ISNUMBER(_xll.BDP($C$5&amp;$C18&amp;$E21&amp;" "&amp;O18&amp;" "&amp;$C$7,$G22,"UpdFreq="&amp;$A$3)),_xll.BDP($C$5&amp;$C18&amp;$E21&amp;" "&amp;O18&amp;" "&amp;$C$7,$G22,"UpdFreq="&amp;$A$3),"")</f>
        <v/>
      </c>
      <c r="P22" s="261" t="str">
        <f ca="1">IF(ISNUMBER(_xll.BDP($C$5&amp;$C18&amp;$E21&amp;" "&amp;P18&amp;" "&amp;$C$7,$G22,"UpdFreq="&amp;$A$3)),_xll.BDP($C$5&amp;$C18&amp;$E21&amp;" "&amp;P18&amp;" "&amp;$C$7,$G22,"UpdFreq="&amp;$A$3),"")</f>
        <v/>
      </c>
      <c r="Q22" s="261" t="str">
        <f ca="1">IF(ISNUMBER(_xll.BDP($C$5&amp;$C18&amp;$E21&amp;" "&amp;Q18&amp;" "&amp;$C$7,$G22,"UpdFreq="&amp;$A$3)),_xll.BDP($C$5&amp;$C18&amp;$E21&amp;" "&amp;Q18&amp;" "&amp;$C$7,$G22,"UpdFreq="&amp;$A$3),"")</f>
        <v/>
      </c>
      <c r="R22" s="261" t="str">
        <f ca="1">IF(ISNUMBER(_xll.BDP($C$5&amp;$C18&amp;$E21&amp;" "&amp;R18&amp;" "&amp;$C$7,$G22,"UpdFreq="&amp;$A$3)),_xll.BDP($C$5&amp;$C18&amp;$E21&amp;" "&amp;R18&amp;" "&amp;$C$7,$G22,"UpdFreq="&amp;$A$3),"")</f>
        <v/>
      </c>
      <c r="S22" s="261" t="str">
        <f ca="1">IF(ISNUMBER(_xll.BDP($C$5&amp;$C18&amp;$E21&amp;" "&amp;S18&amp;" "&amp;$C$7,$G22,"UpdFreq="&amp;$A$3)),_xll.BDP($C$5&amp;$C18&amp;$E21&amp;" "&amp;S18&amp;" "&amp;$C$7,$G22,"UpdFreq="&amp;$A$3),"")</f>
        <v/>
      </c>
      <c r="T22" s="262" t="str">
        <f ca="1">IF(ISNUMBER(_xll.BDP($C$5&amp;$C18&amp;$E21&amp;" "&amp;T18&amp;" "&amp;$C$7,$G22,"UpdFreq="&amp;$A$3)),_xll.BDP($C$5&amp;$C18&amp;$E21&amp;" "&amp;T18&amp;" "&amp;$C$7,$G22,"UpdFreq="&amp;$A$3),"")</f>
        <v/>
      </c>
    </row>
    <row r="23" spans="2:20" ht="13.5" thickBot="1">
      <c r="G23" s="121"/>
      <c r="H23" s="121"/>
      <c r="K23" s="121"/>
    </row>
    <row r="24" spans="2:20" ht="13.5" thickBot="1">
      <c r="B24" s="241" t="s">
        <v>181</v>
      </c>
      <c r="C24" s="242" t="s">
        <v>190</v>
      </c>
      <c r="G24" s="121"/>
      <c r="H24" s="251" t="e">
        <f t="shared" ref="H24:M24" ca="1" si="4">I24-$C$6</f>
        <v>#NAME?</v>
      </c>
      <c r="I24" s="252" t="e">
        <f t="shared" ca="1" si="4"/>
        <v>#NAME?</v>
      </c>
      <c r="J24" s="252" t="e">
        <f t="shared" ca="1" si="4"/>
        <v>#NAME?</v>
      </c>
      <c r="K24" s="252" t="e">
        <f t="shared" ca="1" si="4"/>
        <v>#NAME?</v>
      </c>
      <c r="L24" s="252" t="e">
        <f t="shared" ca="1" si="4"/>
        <v>#NAME?</v>
      </c>
      <c r="M24" s="252" t="e">
        <f t="shared" ca="1" si="4"/>
        <v>#NAME?</v>
      </c>
      <c r="N24" s="253" t="e">
        <f ca="1">ROUND($C25/($C$6),0)*$C$6</f>
        <v>#NAME?</v>
      </c>
      <c r="O24" s="252" t="e">
        <f t="shared" ref="O24:T24" ca="1" si="5">N24+$C$6</f>
        <v>#NAME?</v>
      </c>
      <c r="P24" s="252" t="e">
        <f t="shared" ca="1" si="5"/>
        <v>#NAME?</v>
      </c>
      <c r="Q24" s="252" t="e">
        <f t="shared" ca="1" si="5"/>
        <v>#NAME?</v>
      </c>
      <c r="R24" s="252" t="e">
        <f t="shared" ca="1" si="5"/>
        <v>#NAME?</v>
      </c>
      <c r="S24" s="252" t="e">
        <f t="shared" ca="1" si="5"/>
        <v>#NAME?</v>
      </c>
      <c r="T24" s="252" t="e">
        <f t="shared" ca="1" si="5"/>
        <v>#NAME?</v>
      </c>
    </row>
    <row r="25" spans="2:20">
      <c r="B25" s="243" t="s">
        <v>182</v>
      </c>
      <c r="C25" s="244" t="e">
        <f ca="1">AVERAGE(C26:C27)</f>
        <v>#NAME?</v>
      </c>
      <c r="E25" s="121" t="s">
        <v>183</v>
      </c>
      <c r="F25" s="263" t="s">
        <v>184</v>
      </c>
      <c r="G25" s="264" t="s">
        <v>56</v>
      </c>
      <c r="H25" s="254" t="str">
        <f ca="1">IF(ISNUMBER(_xll.BDP($C$5&amp;$C24&amp;$E25&amp;" "&amp;H24&amp;" "&amp;$C$7,$G25,"UpdFreq="&amp;$A$3)),_xll.BDP($C$5&amp;$C24&amp;$E25&amp;" "&amp;H24&amp;" "&amp;$C$7,$G25,"UpdFreq="&amp;$A$3),"")</f>
        <v/>
      </c>
      <c r="I25" s="255" t="str">
        <f ca="1">IF(ISNUMBER(_xll.BDP($C$5&amp;$C24&amp;$E25&amp;" "&amp;I24&amp;" "&amp;$C$7,$G25,"UpdFreq="&amp;$A$3)),_xll.BDP($C$5&amp;$C24&amp;$E25&amp;" "&amp;I24&amp;" "&amp;$C$7,$G25,"UpdFreq="&amp;$A$3),"")</f>
        <v/>
      </c>
      <c r="J25" s="255" t="str">
        <f ca="1">IF(ISNUMBER(_xll.BDP($C$5&amp;$C24&amp;$E25&amp;" "&amp;J24&amp;" "&amp;$C$7,$G25,"UpdFreq="&amp;$A$3)),_xll.BDP($C$5&amp;$C24&amp;$E25&amp;" "&amp;J24&amp;" "&amp;$C$7,$G25,"UpdFreq="&amp;$A$3),"")</f>
        <v/>
      </c>
      <c r="K25" s="255" t="str">
        <f ca="1">IF(ISNUMBER(_xll.BDP($C$5&amp;$C24&amp;$E25&amp;" "&amp;K24&amp;" "&amp;$C$7,$G25,"UpdFreq="&amp;$A$3)),_xll.BDP($C$5&amp;$C24&amp;$E25&amp;" "&amp;K24&amp;" "&amp;$C$7,$G25,"UpdFreq="&amp;$A$3),"")</f>
        <v/>
      </c>
      <c r="L25" s="255" t="str">
        <f ca="1">IF(ISNUMBER(_xll.BDP($C$5&amp;$C24&amp;$E25&amp;" "&amp;L24&amp;" "&amp;$C$7,$G25,"UpdFreq="&amp;$A$3)),_xll.BDP($C$5&amp;$C24&amp;$E25&amp;" "&amp;L24&amp;" "&amp;$C$7,$G25,"UpdFreq="&amp;$A$3),"")</f>
        <v/>
      </c>
      <c r="M25" s="255" t="str">
        <f ca="1">IF(ISNUMBER(_xll.BDP($C$5&amp;$C24&amp;$E25&amp;" "&amp;M24&amp;" "&amp;$C$7,$G25,"UpdFreq="&amp;$A$3)),_xll.BDP($C$5&amp;$C24&amp;$E25&amp;" "&amp;M24&amp;" "&amp;$C$7,$G25,"UpdFreq="&amp;$A$3),"")</f>
        <v/>
      </c>
      <c r="N25" s="255" t="str">
        <f ca="1">IF(ISNUMBER(_xll.BDP($C$5&amp;$C24&amp;$E25&amp;" "&amp;N24&amp;" "&amp;$C$7,$G25,"UpdFreq="&amp;$A$3)),_xll.BDP($C$5&amp;$C24&amp;$E25&amp;" "&amp;N24&amp;" "&amp;$C$7,$G25,"UpdFreq="&amp;$A$3),"")</f>
        <v/>
      </c>
      <c r="O25" s="255" t="str">
        <f ca="1">IF(ISNUMBER(_xll.BDP($C$5&amp;$C24&amp;$E25&amp;" "&amp;O24&amp;" "&amp;$C$7,$G25,"UpdFreq="&amp;$A$3)),_xll.BDP($C$5&amp;$C24&amp;$E25&amp;" "&amp;O24&amp;" "&amp;$C$7,$G25,"UpdFreq="&amp;$A$3),"")</f>
        <v/>
      </c>
      <c r="P25" s="255" t="str">
        <f ca="1">IF(ISNUMBER(_xll.BDP($C$5&amp;$C24&amp;$E25&amp;" "&amp;P24&amp;" "&amp;$C$7,$G25,"UpdFreq="&amp;$A$3)),_xll.BDP($C$5&amp;$C24&amp;$E25&amp;" "&amp;P24&amp;" "&amp;$C$7,$G25,"UpdFreq="&amp;$A$3),"")</f>
        <v/>
      </c>
      <c r="Q25" s="255" t="str">
        <f ca="1">IF(ISNUMBER(_xll.BDP($C$5&amp;$C24&amp;$E25&amp;" "&amp;Q24&amp;" "&amp;$C$7,$G25,"UpdFreq="&amp;$A$3)),_xll.BDP($C$5&amp;$C24&amp;$E25&amp;" "&amp;Q24&amp;" "&amp;$C$7,$G25,"UpdFreq="&amp;$A$3),"")</f>
        <v/>
      </c>
      <c r="R25" s="255" t="str">
        <f ca="1">IF(ISNUMBER(_xll.BDP($C$5&amp;$C24&amp;$E25&amp;" "&amp;R24&amp;" "&amp;$C$7,$G25,"UpdFreq="&amp;$A$3)),_xll.BDP($C$5&amp;$C24&amp;$E25&amp;" "&amp;R24&amp;" "&amp;$C$7,$G25,"UpdFreq="&amp;$A$3),"")</f>
        <v/>
      </c>
      <c r="S25" s="255" t="str">
        <f ca="1">IF(ISNUMBER(_xll.BDP($C$5&amp;$C24&amp;$E25&amp;" "&amp;S24&amp;" "&amp;$C$7,$G25,"UpdFreq="&amp;$A$3)),_xll.BDP($C$5&amp;$C24&amp;$E25&amp;" "&amp;S24&amp;" "&amp;$C$7,$G25,"UpdFreq="&amp;$A$3),"")</f>
        <v/>
      </c>
      <c r="T25" s="256" t="str">
        <f ca="1">IF(ISNUMBER(_xll.BDP($C$5&amp;$C24&amp;$E25&amp;" "&amp;T24&amp;" "&amp;$C$7,$G25,"UpdFreq="&amp;$A$3)),_xll.BDP($C$5&amp;$C24&amp;$E25&amp;" "&amp;T24&amp;" "&amp;$C$7,$G25,"UpdFreq="&amp;$A$3),"")</f>
        <v/>
      </c>
    </row>
    <row r="26" spans="2:20">
      <c r="B26" s="245" t="s">
        <v>57</v>
      </c>
      <c r="C26" s="246" t="e">
        <f ca="1">_xll.BDP($C$5&amp;C24&amp;" "&amp;$C$7, G27)</f>
        <v>#NAME?</v>
      </c>
      <c r="F26" s="265"/>
      <c r="G26" s="266" t="s">
        <v>57</v>
      </c>
      <c r="H26" s="257" t="str">
        <f ca="1">IF(ISNUMBER(_xll.BDP($C$5&amp;$C24&amp;$E25&amp;" "&amp;H24&amp;" "&amp;$C$7,$G26,"UpdFreq="&amp;$A$3)),_xll.BDP($C$5&amp;$C24&amp;$E25&amp;" "&amp;H24&amp;" "&amp;$C$7,$G26,"UpdFreq="&amp;$A$3),"")</f>
        <v/>
      </c>
      <c r="I26" s="258" t="str">
        <f ca="1">IF(ISNUMBER(_xll.BDP($C$5&amp;$C24&amp;$E25&amp;" "&amp;I24&amp;" "&amp;$C$7,$G26,"UpdFreq="&amp;$A$3)),_xll.BDP($C$5&amp;$C24&amp;$E25&amp;" "&amp;I24&amp;" "&amp;$C$7,$G26,"UpdFreq="&amp;$A$3),"")</f>
        <v/>
      </c>
      <c r="J26" s="258" t="str">
        <f ca="1">IF(ISNUMBER(_xll.BDP($C$5&amp;$C24&amp;$E25&amp;" "&amp;J24&amp;" "&amp;$C$7,$G26,"UpdFreq="&amp;$A$3)),_xll.BDP($C$5&amp;$C24&amp;$E25&amp;" "&amp;J24&amp;" "&amp;$C$7,$G26,"UpdFreq="&amp;$A$3),"")</f>
        <v/>
      </c>
      <c r="K26" s="258" t="str">
        <f ca="1">IF(ISNUMBER(_xll.BDP($C$5&amp;$C24&amp;$E25&amp;" "&amp;K24&amp;" "&amp;$C$7,$G26,"UpdFreq="&amp;$A$3)),_xll.BDP($C$5&amp;$C24&amp;$E25&amp;" "&amp;K24&amp;" "&amp;$C$7,$G26,"UpdFreq="&amp;$A$3),"")</f>
        <v/>
      </c>
      <c r="L26" s="258" t="str">
        <f ca="1">IF(ISNUMBER(_xll.BDP($C$5&amp;$C24&amp;$E25&amp;" "&amp;L24&amp;" "&amp;$C$7,$G26,"UpdFreq="&amp;$A$3)),_xll.BDP($C$5&amp;$C24&amp;$E25&amp;" "&amp;L24&amp;" "&amp;$C$7,$G26,"UpdFreq="&amp;$A$3),"")</f>
        <v/>
      </c>
      <c r="M26" s="258" t="str">
        <f ca="1">IF(ISNUMBER(_xll.BDP($C$5&amp;$C24&amp;$E25&amp;" "&amp;M24&amp;" "&amp;$C$7,$G26,"UpdFreq="&amp;$A$3)),_xll.BDP($C$5&amp;$C24&amp;$E25&amp;" "&amp;M24&amp;" "&amp;$C$7,$G26,"UpdFreq="&amp;$A$3),"")</f>
        <v/>
      </c>
      <c r="N26" s="258" t="str">
        <f ca="1">IF(ISNUMBER(_xll.BDP($C$5&amp;$C24&amp;$E25&amp;" "&amp;N24&amp;" "&amp;$C$7,$G26,"UpdFreq="&amp;$A$3)),_xll.BDP($C$5&amp;$C24&amp;$E25&amp;" "&amp;N24&amp;" "&amp;$C$7,$G26,"UpdFreq="&amp;$A$3),"")</f>
        <v/>
      </c>
      <c r="O26" s="258" t="str">
        <f ca="1">IF(ISNUMBER(_xll.BDP($C$5&amp;$C24&amp;$E25&amp;" "&amp;O24&amp;" "&amp;$C$7,$G26,"UpdFreq="&amp;$A$3)),_xll.BDP($C$5&amp;$C24&amp;$E25&amp;" "&amp;O24&amp;" "&amp;$C$7,$G26,"UpdFreq="&amp;$A$3),"")</f>
        <v/>
      </c>
      <c r="P26" s="258" t="str">
        <f ca="1">IF(ISNUMBER(_xll.BDP($C$5&amp;$C24&amp;$E25&amp;" "&amp;P24&amp;" "&amp;$C$7,$G26,"UpdFreq="&amp;$A$3)),_xll.BDP($C$5&amp;$C24&amp;$E25&amp;" "&amp;P24&amp;" "&amp;$C$7,$G26,"UpdFreq="&amp;$A$3),"")</f>
        <v/>
      </c>
      <c r="Q26" s="258" t="str">
        <f ca="1">IF(ISNUMBER(_xll.BDP($C$5&amp;$C24&amp;$E25&amp;" "&amp;Q24&amp;" "&amp;$C$7,$G26,"UpdFreq="&amp;$A$3)),_xll.BDP($C$5&amp;$C24&amp;$E25&amp;" "&amp;Q24&amp;" "&amp;$C$7,$G26,"UpdFreq="&amp;$A$3),"")</f>
        <v/>
      </c>
      <c r="R26" s="258" t="str">
        <f ca="1">IF(ISNUMBER(_xll.BDP($C$5&amp;$C24&amp;$E25&amp;" "&amp;R24&amp;" "&amp;$C$7,$G26,"UpdFreq="&amp;$A$3)),_xll.BDP($C$5&amp;$C24&amp;$E25&amp;" "&amp;R24&amp;" "&amp;$C$7,$G26,"UpdFreq="&amp;$A$3),"")</f>
        <v/>
      </c>
      <c r="S26" s="258" t="str">
        <f ca="1">IF(ISNUMBER(_xll.BDP($C$5&amp;$C24&amp;$E25&amp;" "&amp;S24&amp;" "&amp;$C$7,$G26,"UpdFreq="&amp;$A$3)),_xll.BDP($C$5&amp;$C24&amp;$E25&amp;" "&amp;S24&amp;" "&amp;$C$7,$G26,"UpdFreq="&amp;$A$3),"")</f>
        <v/>
      </c>
      <c r="T26" s="259" t="str">
        <f ca="1">IF(ISNUMBER(_xll.BDP($C$5&amp;$C24&amp;$E25&amp;" "&amp;T24&amp;" "&amp;$C$7,$G26,"UpdFreq="&amp;$A$3)),_xll.BDP($C$5&amp;$C24&amp;$E25&amp;" "&amp;T24&amp;" "&amp;$C$7,$G26,"UpdFreq="&amp;$A$3),"")</f>
        <v/>
      </c>
    </row>
    <row r="27" spans="2:20">
      <c r="B27" s="247" t="s">
        <v>56</v>
      </c>
      <c r="C27" s="248" t="e">
        <f ca="1">_xll.BDP($C$5&amp;C24&amp;" "&amp;$C$7, G28)</f>
        <v>#NAME?</v>
      </c>
      <c r="E27" s="121" t="s">
        <v>185</v>
      </c>
      <c r="F27" s="265" t="s">
        <v>186</v>
      </c>
      <c r="G27" s="266" t="s">
        <v>56</v>
      </c>
      <c r="H27" s="257" t="str">
        <f ca="1">IF(ISNUMBER(_xll.BDP($C$5&amp;$C24&amp;$E27&amp;" "&amp;H24&amp;" "&amp;$C$7,$G27,"UpdFreq="&amp;$A$3)),_xll.BDP($C$5&amp;$C24&amp;$E27&amp;" "&amp;H24&amp;" "&amp;$C$7,$G27,"UpdFreq="&amp;$A$3),"")</f>
        <v/>
      </c>
      <c r="I27" s="258" t="str">
        <f ca="1">IF(ISNUMBER(_xll.BDP($C$5&amp;$C24&amp;$E27&amp;" "&amp;I24&amp;" "&amp;$C$7,$G27,"UpdFreq="&amp;$A$3)),_xll.BDP($C$5&amp;$C24&amp;$E27&amp;" "&amp;I24&amp;" "&amp;$C$7,$G27,"UpdFreq="&amp;$A$3),"")</f>
        <v/>
      </c>
      <c r="J27" s="258" t="str">
        <f ca="1">IF(ISNUMBER(_xll.BDP($C$5&amp;$C24&amp;$E27&amp;" "&amp;J24&amp;" "&amp;$C$7,$G27,"UpdFreq="&amp;$A$3)),_xll.BDP($C$5&amp;$C24&amp;$E27&amp;" "&amp;J24&amp;" "&amp;$C$7,$G27,"UpdFreq="&amp;$A$3),"")</f>
        <v/>
      </c>
      <c r="K27" s="258" t="str">
        <f ca="1">IF(ISNUMBER(_xll.BDP($C$5&amp;$C24&amp;$E27&amp;" "&amp;K24&amp;" "&amp;$C$7,$G27,"UpdFreq="&amp;$A$3)),_xll.BDP($C$5&amp;$C24&amp;$E27&amp;" "&amp;K24&amp;" "&amp;$C$7,$G27,"UpdFreq="&amp;$A$3),"")</f>
        <v/>
      </c>
      <c r="L27" s="258" t="str">
        <f ca="1">IF(ISNUMBER(_xll.BDP($C$5&amp;$C24&amp;$E27&amp;" "&amp;L24&amp;" "&amp;$C$7,$G27,"UpdFreq="&amp;$A$3)),_xll.BDP($C$5&amp;$C24&amp;$E27&amp;" "&amp;L24&amp;" "&amp;$C$7,$G27,"UpdFreq="&amp;$A$3),"")</f>
        <v/>
      </c>
      <c r="M27" s="258" t="str">
        <f ca="1">IF(ISNUMBER(_xll.BDP($C$5&amp;$C24&amp;$E27&amp;" "&amp;M24&amp;" "&amp;$C$7,$G27,"UpdFreq="&amp;$A$3)),_xll.BDP($C$5&amp;$C24&amp;$E27&amp;" "&amp;M24&amp;" "&amp;$C$7,$G27,"UpdFreq="&amp;$A$3),"")</f>
        <v/>
      </c>
      <c r="N27" s="258" t="str">
        <f ca="1">IF(ISNUMBER(_xll.BDP($C$5&amp;$C24&amp;$E27&amp;" "&amp;N24&amp;" "&amp;$C$7,$G27,"UpdFreq="&amp;$A$3)),_xll.BDP($C$5&amp;$C24&amp;$E27&amp;" "&amp;N24&amp;" "&amp;$C$7,$G27,"UpdFreq="&amp;$A$3),"")</f>
        <v/>
      </c>
      <c r="O27" s="258" t="str">
        <f ca="1">IF(ISNUMBER(_xll.BDP($C$5&amp;$C24&amp;$E27&amp;" "&amp;O24&amp;" "&amp;$C$7,$G27,"UpdFreq="&amp;$A$3)),_xll.BDP($C$5&amp;$C24&amp;$E27&amp;" "&amp;O24&amp;" "&amp;$C$7,$G27,"UpdFreq="&amp;$A$3),"")</f>
        <v/>
      </c>
      <c r="P27" s="258" t="str">
        <f ca="1">IF(ISNUMBER(_xll.BDP($C$5&amp;$C24&amp;$E27&amp;" "&amp;P24&amp;" "&amp;$C$7,$G27,"UpdFreq="&amp;$A$3)),_xll.BDP($C$5&amp;$C24&amp;$E27&amp;" "&amp;P24&amp;" "&amp;$C$7,$G27,"UpdFreq="&amp;$A$3),"")</f>
        <v/>
      </c>
      <c r="Q27" s="258" t="str">
        <f ca="1">IF(ISNUMBER(_xll.BDP($C$5&amp;$C24&amp;$E27&amp;" "&amp;Q24&amp;" "&amp;$C$7,$G27,"UpdFreq="&amp;$A$3)),_xll.BDP($C$5&amp;$C24&amp;$E27&amp;" "&amp;Q24&amp;" "&amp;$C$7,$G27,"UpdFreq="&amp;$A$3),"")</f>
        <v/>
      </c>
      <c r="R27" s="258" t="str">
        <f ca="1">IF(ISNUMBER(_xll.BDP($C$5&amp;$C24&amp;$E27&amp;" "&amp;R24&amp;" "&amp;$C$7,$G27,"UpdFreq="&amp;$A$3)),_xll.BDP($C$5&amp;$C24&amp;$E27&amp;" "&amp;R24&amp;" "&amp;$C$7,$G27,"UpdFreq="&amp;$A$3),"")</f>
        <v/>
      </c>
      <c r="S27" s="258" t="str">
        <f ca="1">IF(ISNUMBER(_xll.BDP($C$5&amp;$C24&amp;$E27&amp;" "&amp;S24&amp;" "&amp;$C$7,$G27,"UpdFreq="&amp;$A$3)),_xll.BDP($C$5&amp;$C24&amp;$E27&amp;" "&amp;S24&amp;" "&amp;$C$7,$G27,"UpdFreq="&amp;$A$3),"")</f>
        <v/>
      </c>
      <c r="T27" s="259" t="str">
        <f ca="1">IF(ISNUMBER(_xll.BDP($C$5&amp;$C24&amp;$E27&amp;" "&amp;T24&amp;" "&amp;$C$7,$G27,"UpdFreq="&amp;$A$3)),_xll.BDP($C$5&amp;$C24&amp;$E27&amp;" "&amp;T24&amp;" "&amp;$C$7,$G27,"UpdFreq="&amp;$A$3),"")</f>
        <v/>
      </c>
    </row>
    <row r="28" spans="2:20" ht="13.5" thickBot="1">
      <c r="B28" s="249" t="s">
        <v>187</v>
      </c>
      <c r="C28" s="250" t="e">
        <f ca="1">IF(ISNUMBER($N25),_xll.BDP($C$5&amp;$C24&amp;$E25&amp;" "&amp;N24&amp;" "&amp;$C$7,"OPT_EXPIRE_DT"),_xll.BDP($C$5&amp;$C24&amp;$E25&amp;" "&amp;M24&amp;" "&amp;$C$7,"OPT_EXPIRE_DT"))</f>
        <v>#NAME?</v>
      </c>
      <c r="F28" s="267"/>
      <c r="G28" s="268" t="s">
        <v>57</v>
      </c>
      <c r="H28" s="260" t="str">
        <f ca="1">IF(ISNUMBER(_xll.BDP($C$5&amp;$C24&amp;$E27&amp;" "&amp;H24&amp;" "&amp;$C$7,$G28,"UpdFreq="&amp;$A$3)),_xll.BDP($C$5&amp;$C24&amp;$E27&amp;" "&amp;H24&amp;" "&amp;$C$7,$G28,"UpdFreq="&amp;$A$3),"")</f>
        <v/>
      </c>
      <c r="I28" s="261" t="str">
        <f ca="1">IF(ISNUMBER(_xll.BDP($C$5&amp;$C24&amp;$E27&amp;" "&amp;I24&amp;" "&amp;$C$7,$G28,"UpdFreq="&amp;$A$3)),_xll.BDP($C$5&amp;$C24&amp;$E27&amp;" "&amp;I24&amp;" "&amp;$C$7,$G28,"UpdFreq="&amp;$A$3),"")</f>
        <v/>
      </c>
      <c r="J28" s="261" t="str">
        <f ca="1">IF(ISNUMBER(_xll.BDP($C$5&amp;$C24&amp;$E27&amp;" "&amp;J24&amp;" "&amp;$C$7,$G28,"UpdFreq="&amp;$A$3)),_xll.BDP($C$5&amp;$C24&amp;$E27&amp;" "&amp;J24&amp;" "&amp;$C$7,$G28,"UpdFreq="&amp;$A$3),"")</f>
        <v/>
      </c>
      <c r="K28" s="261" t="str">
        <f ca="1">IF(ISNUMBER(_xll.BDP($C$5&amp;$C24&amp;$E27&amp;" "&amp;K24&amp;" "&amp;$C$7,$G28,"UpdFreq="&amp;$A$3)),_xll.BDP($C$5&amp;$C24&amp;$E27&amp;" "&amp;K24&amp;" "&amp;$C$7,$G28,"UpdFreq="&amp;$A$3),"")</f>
        <v/>
      </c>
      <c r="L28" s="261" t="str">
        <f ca="1">IF(ISNUMBER(_xll.BDP($C$5&amp;$C24&amp;$E27&amp;" "&amp;L24&amp;" "&amp;$C$7,$G28,"UpdFreq="&amp;$A$3)),_xll.BDP($C$5&amp;$C24&amp;$E27&amp;" "&amp;L24&amp;" "&amp;$C$7,$G28,"UpdFreq="&amp;$A$3),"")</f>
        <v/>
      </c>
      <c r="M28" s="261" t="str">
        <f ca="1">IF(ISNUMBER(_xll.BDP($C$5&amp;$C24&amp;$E27&amp;" "&amp;M24&amp;" "&amp;$C$7,$G28,"UpdFreq="&amp;$A$3)),_xll.BDP($C$5&amp;$C24&amp;$E27&amp;" "&amp;M24&amp;" "&amp;$C$7,$G28,"UpdFreq="&amp;$A$3),"")</f>
        <v/>
      </c>
      <c r="N28" s="261" t="str">
        <f ca="1">IF(ISNUMBER(_xll.BDP($C$5&amp;$C24&amp;$E27&amp;" "&amp;N24&amp;" "&amp;$C$7,$G28,"UpdFreq="&amp;$A$3)),_xll.BDP($C$5&amp;$C24&amp;$E27&amp;" "&amp;N24&amp;" "&amp;$C$7,$G28,"UpdFreq="&amp;$A$3),"")</f>
        <v/>
      </c>
      <c r="O28" s="261" t="str">
        <f ca="1">IF(ISNUMBER(_xll.BDP($C$5&amp;$C24&amp;$E27&amp;" "&amp;O24&amp;" "&amp;$C$7,$G28,"UpdFreq="&amp;$A$3)),_xll.BDP($C$5&amp;$C24&amp;$E27&amp;" "&amp;O24&amp;" "&amp;$C$7,$G28,"UpdFreq="&amp;$A$3),"")</f>
        <v/>
      </c>
      <c r="P28" s="261" t="str">
        <f ca="1">IF(ISNUMBER(_xll.BDP($C$5&amp;$C24&amp;$E27&amp;" "&amp;P24&amp;" "&amp;$C$7,$G28,"UpdFreq="&amp;$A$3)),_xll.BDP($C$5&amp;$C24&amp;$E27&amp;" "&amp;P24&amp;" "&amp;$C$7,$G28,"UpdFreq="&amp;$A$3),"")</f>
        <v/>
      </c>
      <c r="Q28" s="261" t="str">
        <f ca="1">IF(ISNUMBER(_xll.BDP($C$5&amp;$C24&amp;$E27&amp;" "&amp;Q24&amp;" "&amp;$C$7,$G28,"UpdFreq="&amp;$A$3)),_xll.BDP($C$5&amp;$C24&amp;$E27&amp;" "&amp;Q24&amp;" "&amp;$C$7,$G28,"UpdFreq="&amp;$A$3),"")</f>
        <v/>
      </c>
      <c r="R28" s="261" t="str">
        <f ca="1">IF(ISNUMBER(_xll.BDP($C$5&amp;$C24&amp;$E27&amp;" "&amp;R24&amp;" "&amp;$C$7,$G28,"UpdFreq="&amp;$A$3)),_xll.BDP($C$5&amp;$C24&amp;$E27&amp;" "&amp;R24&amp;" "&amp;$C$7,$G28,"UpdFreq="&amp;$A$3),"")</f>
        <v/>
      </c>
      <c r="S28" s="261" t="str">
        <f ca="1">IF(ISNUMBER(_xll.BDP($C$5&amp;$C24&amp;$E27&amp;" "&amp;S24&amp;" "&amp;$C$7,$G28,"UpdFreq="&amp;$A$3)),_xll.BDP($C$5&amp;$C24&amp;$E27&amp;" "&amp;S24&amp;" "&amp;$C$7,$G28,"UpdFreq="&amp;$A$3),"")</f>
        <v/>
      </c>
      <c r="T28" s="262" t="str">
        <f ca="1">IF(ISNUMBER(_xll.BDP($C$5&amp;$C24&amp;$E27&amp;" "&amp;T24&amp;" "&amp;$C$7,$G28,"UpdFreq="&amp;$A$3)),_xll.BDP($C$5&amp;$C24&amp;$E27&amp;" "&amp;T24&amp;" "&amp;$C$7,$G28,"UpdFreq="&amp;$A$3),"")</f>
        <v/>
      </c>
    </row>
    <row r="29" spans="2:20" ht="13.5" thickBot="1">
      <c r="G29" s="121"/>
      <c r="H29" s="121"/>
      <c r="K29" s="121"/>
    </row>
    <row r="30" spans="2:20" ht="13.5" thickBot="1">
      <c r="B30" s="241" t="s">
        <v>181</v>
      </c>
      <c r="C30" s="242" t="s">
        <v>191</v>
      </c>
      <c r="G30" s="121"/>
      <c r="H30" s="251" t="e">
        <f t="shared" ref="H30:M30" ca="1" si="6">I30-$C$6</f>
        <v>#NAME?</v>
      </c>
      <c r="I30" s="252" t="e">
        <f t="shared" ca="1" si="6"/>
        <v>#NAME?</v>
      </c>
      <c r="J30" s="252" t="e">
        <f t="shared" ca="1" si="6"/>
        <v>#NAME?</v>
      </c>
      <c r="K30" s="252" t="e">
        <f t="shared" ca="1" si="6"/>
        <v>#NAME?</v>
      </c>
      <c r="L30" s="252" t="e">
        <f t="shared" ca="1" si="6"/>
        <v>#NAME?</v>
      </c>
      <c r="M30" s="252" t="e">
        <f t="shared" ca="1" si="6"/>
        <v>#NAME?</v>
      </c>
      <c r="N30" s="253" t="e">
        <f ca="1">ROUND($C31/($C$6),0)*$C$6</f>
        <v>#NAME?</v>
      </c>
      <c r="O30" s="252" t="e">
        <f t="shared" ref="O30:T30" ca="1" si="7">N30+$C$6</f>
        <v>#NAME?</v>
      </c>
      <c r="P30" s="252" t="e">
        <f t="shared" ca="1" si="7"/>
        <v>#NAME?</v>
      </c>
      <c r="Q30" s="252" t="e">
        <f t="shared" ca="1" si="7"/>
        <v>#NAME?</v>
      </c>
      <c r="R30" s="252" t="e">
        <f t="shared" ca="1" si="7"/>
        <v>#NAME?</v>
      </c>
      <c r="S30" s="252" t="e">
        <f t="shared" ca="1" si="7"/>
        <v>#NAME?</v>
      </c>
      <c r="T30" s="252" t="e">
        <f t="shared" ca="1" si="7"/>
        <v>#NAME?</v>
      </c>
    </row>
    <row r="31" spans="2:20">
      <c r="B31" s="243" t="s">
        <v>182</v>
      </c>
      <c r="C31" s="244" t="e">
        <f ca="1">AVERAGE(C32:C33)</f>
        <v>#NAME?</v>
      </c>
      <c r="E31" s="121" t="s">
        <v>183</v>
      </c>
      <c r="F31" s="263" t="s">
        <v>184</v>
      </c>
      <c r="G31" s="264" t="s">
        <v>56</v>
      </c>
      <c r="H31" s="254" t="str">
        <f ca="1">IF(ISNUMBER(_xll.BDP($C$5&amp;$C30&amp;$E31&amp;" "&amp;H30&amp;" "&amp;$C$7,$G31,"UpdFreq="&amp;$A$3)),_xll.BDP($C$5&amp;$C30&amp;$E31&amp;" "&amp;H30&amp;" "&amp;$C$7,$G31,"UpdFreq="&amp;$A$3),"")</f>
        <v/>
      </c>
      <c r="I31" s="255" t="str">
        <f ca="1">IF(ISNUMBER(_xll.BDP($C$5&amp;$C30&amp;$E31&amp;" "&amp;I30&amp;" "&amp;$C$7,$G31,"UpdFreq="&amp;$A$3)),_xll.BDP($C$5&amp;$C30&amp;$E31&amp;" "&amp;I30&amp;" "&amp;$C$7,$G31,"UpdFreq="&amp;$A$3),"")</f>
        <v/>
      </c>
      <c r="J31" s="255" t="str">
        <f ca="1">IF(ISNUMBER(_xll.BDP($C$5&amp;$C30&amp;$E31&amp;" "&amp;J30&amp;" "&amp;$C$7,$G31,"UpdFreq="&amp;$A$3)),_xll.BDP($C$5&amp;$C30&amp;$E31&amp;" "&amp;J30&amp;" "&amp;$C$7,$G31,"UpdFreq="&amp;$A$3),"")</f>
        <v/>
      </c>
      <c r="K31" s="255" t="str">
        <f ca="1">IF(ISNUMBER(_xll.BDP($C$5&amp;$C30&amp;$E31&amp;" "&amp;K30&amp;" "&amp;$C$7,$G31,"UpdFreq="&amp;$A$3)),_xll.BDP($C$5&amp;$C30&amp;$E31&amp;" "&amp;K30&amp;" "&amp;$C$7,$G31,"UpdFreq="&amp;$A$3),"")</f>
        <v/>
      </c>
      <c r="L31" s="255" t="str">
        <f ca="1">IF(ISNUMBER(_xll.BDP($C$5&amp;$C30&amp;$E31&amp;" "&amp;L30&amp;" "&amp;$C$7,$G31,"UpdFreq="&amp;$A$3)),_xll.BDP($C$5&amp;$C30&amp;$E31&amp;" "&amp;L30&amp;" "&amp;$C$7,$G31,"UpdFreq="&amp;$A$3),"")</f>
        <v/>
      </c>
      <c r="M31" s="255" t="str">
        <f ca="1">IF(ISNUMBER(_xll.BDP($C$5&amp;$C30&amp;$E31&amp;" "&amp;M30&amp;" "&amp;$C$7,$G31,"UpdFreq="&amp;$A$3)),_xll.BDP($C$5&amp;$C30&amp;$E31&amp;" "&amp;M30&amp;" "&amp;$C$7,$G31,"UpdFreq="&amp;$A$3),"")</f>
        <v/>
      </c>
      <c r="N31" s="255" t="str">
        <f ca="1">IF(ISNUMBER(_xll.BDP($C$5&amp;$C30&amp;$E31&amp;" "&amp;N30&amp;" "&amp;$C$7,$G31,"UpdFreq="&amp;$A$3)),_xll.BDP($C$5&amp;$C30&amp;$E31&amp;" "&amp;N30&amp;" "&amp;$C$7,$G31,"UpdFreq="&amp;$A$3),"")</f>
        <v/>
      </c>
      <c r="O31" s="255" t="str">
        <f ca="1">IF(ISNUMBER(_xll.BDP($C$5&amp;$C30&amp;$E31&amp;" "&amp;O30&amp;" "&amp;$C$7,$G31,"UpdFreq="&amp;$A$3)),_xll.BDP($C$5&amp;$C30&amp;$E31&amp;" "&amp;O30&amp;" "&amp;$C$7,$G31,"UpdFreq="&amp;$A$3),"")</f>
        <v/>
      </c>
      <c r="P31" s="255" t="str">
        <f ca="1">IF(ISNUMBER(_xll.BDP($C$5&amp;$C30&amp;$E31&amp;" "&amp;P30&amp;" "&amp;$C$7,$G31,"UpdFreq="&amp;$A$3)),_xll.BDP($C$5&amp;$C30&amp;$E31&amp;" "&amp;P30&amp;" "&amp;$C$7,$G31,"UpdFreq="&amp;$A$3),"")</f>
        <v/>
      </c>
      <c r="Q31" s="255" t="str">
        <f ca="1">IF(ISNUMBER(_xll.BDP($C$5&amp;$C30&amp;$E31&amp;" "&amp;Q30&amp;" "&amp;$C$7,$G31,"UpdFreq="&amp;$A$3)),_xll.BDP($C$5&amp;$C30&amp;$E31&amp;" "&amp;Q30&amp;" "&amp;$C$7,$G31,"UpdFreq="&amp;$A$3),"")</f>
        <v/>
      </c>
      <c r="R31" s="255" t="str">
        <f ca="1">IF(ISNUMBER(_xll.BDP($C$5&amp;$C30&amp;$E31&amp;" "&amp;R30&amp;" "&amp;$C$7,$G31,"UpdFreq="&amp;$A$3)),_xll.BDP($C$5&amp;$C30&amp;$E31&amp;" "&amp;R30&amp;" "&amp;$C$7,$G31,"UpdFreq="&amp;$A$3),"")</f>
        <v/>
      </c>
      <c r="S31" s="255" t="str">
        <f ca="1">IF(ISNUMBER(_xll.BDP($C$5&amp;$C30&amp;$E31&amp;" "&amp;S30&amp;" "&amp;$C$7,$G31,"UpdFreq="&amp;$A$3)),_xll.BDP($C$5&amp;$C30&amp;$E31&amp;" "&amp;S30&amp;" "&amp;$C$7,$G31,"UpdFreq="&amp;$A$3),"")</f>
        <v/>
      </c>
      <c r="T31" s="256" t="str">
        <f ca="1">IF(ISNUMBER(_xll.BDP($C$5&amp;$C30&amp;$E31&amp;" "&amp;T30&amp;" "&amp;$C$7,$G31,"UpdFreq="&amp;$A$3)),_xll.BDP($C$5&amp;$C30&amp;$E31&amp;" "&amp;T30&amp;" "&amp;$C$7,$G31,"UpdFreq="&amp;$A$3),"")</f>
        <v/>
      </c>
    </row>
    <row r="32" spans="2:20">
      <c r="B32" s="245" t="s">
        <v>57</v>
      </c>
      <c r="C32" s="246" t="e">
        <f ca="1">_xll.BDP($C$5&amp;C30&amp;" "&amp;$C$7, G33)</f>
        <v>#NAME?</v>
      </c>
      <c r="F32" s="265"/>
      <c r="G32" s="266" t="s">
        <v>57</v>
      </c>
      <c r="H32" s="257" t="str">
        <f ca="1">IF(ISNUMBER(_xll.BDP($C$5&amp;$C30&amp;$E31&amp;" "&amp;H30&amp;" "&amp;$C$7,$G32,"UpdFreq="&amp;$A$3)),_xll.BDP($C$5&amp;$C30&amp;$E31&amp;" "&amp;H30&amp;" "&amp;$C$7,$G32,"UpdFreq="&amp;$A$3),"")</f>
        <v/>
      </c>
      <c r="I32" s="258" t="str">
        <f ca="1">IF(ISNUMBER(_xll.BDP($C$5&amp;$C30&amp;$E31&amp;" "&amp;I30&amp;" "&amp;$C$7,$G32,"UpdFreq="&amp;$A$3)),_xll.BDP($C$5&amp;$C30&amp;$E31&amp;" "&amp;I30&amp;" "&amp;$C$7,$G32,"UpdFreq="&amp;$A$3),"")</f>
        <v/>
      </c>
      <c r="J32" s="258" t="str">
        <f ca="1">IF(ISNUMBER(_xll.BDP($C$5&amp;$C30&amp;$E31&amp;" "&amp;J30&amp;" "&amp;$C$7,$G32,"UpdFreq="&amp;$A$3)),_xll.BDP($C$5&amp;$C30&amp;$E31&amp;" "&amp;J30&amp;" "&amp;$C$7,$G32,"UpdFreq="&amp;$A$3),"")</f>
        <v/>
      </c>
      <c r="K32" s="258" t="str">
        <f ca="1">IF(ISNUMBER(_xll.BDP($C$5&amp;$C30&amp;$E31&amp;" "&amp;K30&amp;" "&amp;$C$7,$G32,"UpdFreq="&amp;$A$3)),_xll.BDP($C$5&amp;$C30&amp;$E31&amp;" "&amp;K30&amp;" "&amp;$C$7,$G32,"UpdFreq="&amp;$A$3),"")</f>
        <v/>
      </c>
      <c r="L32" s="258" t="str">
        <f ca="1">IF(ISNUMBER(_xll.BDP($C$5&amp;$C30&amp;$E31&amp;" "&amp;L30&amp;" "&amp;$C$7,$G32,"UpdFreq="&amp;$A$3)),_xll.BDP($C$5&amp;$C30&amp;$E31&amp;" "&amp;L30&amp;" "&amp;$C$7,$G32,"UpdFreq="&amp;$A$3),"")</f>
        <v/>
      </c>
      <c r="M32" s="258" t="str">
        <f ca="1">IF(ISNUMBER(_xll.BDP($C$5&amp;$C30&amp;$E31&amp;" "&amp;M30&amp;" "&amp;$C$7,$G32,"UpdFreq="&amp;$A$3)),_xll.BDP($C$5&amp;$C30&amp;$E31&amp;" "&amp;M30&amp;" "&amp;$C$7,$G32,"UpdFreq="&amp;$A$3),"")</f>
        <v/>
      </c>
      <c r="N32" s="258" t="str">
        <f ca="1">IF(ISNUMBER(_xll.BDP($C$5&amp;$C30&amp;$E31&amp;" "&amp;N30&amp;" "&amp;$C$7,$G32,"UpdFreq="&amp;$A$3)),_xll.BDP($C$5&amp;$C30&amp;$E31&amp;" "&amp;N30&amp;" "&amp;$C$7,$G32,"UpdFreq="&amp;$A$3),"")</f>
        <v/>
      </c>
      <c r="O32" s="258" t="str">
        <f ca="1">IF(ISNUMBER(_xll.BDP($C$5&amp;$C30&amp;$E31&amp;" "&amp;O30&amp;" "&amp;$C$7,$G32,"UpdFreq="&amp;$A$3)),_xll.BDP($C$5&amp;$C30&amp;$E31&amp;" "&amp;O30&amp;" "&amp;$C$7,$G32,"UpdFreq="&amp;$A$3),"")</f>
        <v/>
      </c>
      <c r="P32" s="258" t="str">
        <f ca="1">IF(ISNUMBER(_xll.BDP($C$5&amp;$C30&amp;$E31&amp;" "&amp;P30&amp;" "&amp;$C$7,$G32,"UpdFreq="&amp;$A$3)),_xll.BDP($C$5&amp;$C30&amp;$E31&amp;" "&amp;P30&amp;" "&amp;$C$7,$G32,"UpdFreq="&amp;$A$3),"")</f>
        <v/>
      </c>
      <c r="Q32" s="258" t="str">
        <f ca="1">IF(ISNUMBER(_xll.BDP($C$5&amp;$C30&amp;$E31&amp;" "&amp;Q30&amp;" "&amp;$C$7,$G32,"UpdFreq="&amp;$A$3)),_xll.BDP($C$5&amp;$C30&amp;$E31&amp;" "&amp;Q30&amp;" "&amp;$C$7,$G32,"UpdFreq="&amp;$A$3),"")</f>
        <v/>
      </c>
      <c r="R32" s="258" t="str">
        <f ca="1">IF(ISNUMBER(_xll.BDP($C$5&amp;$C30&amp;$E31&amp;" "&amp;R30&amp;" "&amp;$C$7,$G32,"UpdFreq="&amp;$A$3)),_xll.BDP($C$5&amp;$C30&amp;$E31&amp;" "&amp;R30&amp;" "&amp;$C$7,$G32,"UpdFreq="&amp;$A$3),"")</f>
        <v/>
      </c>
      <c r="S32" s="258" t="str">
        <f ca="1">IF(ISNUMBER(_xll.BDP($C$5&amp;$C30&amp;$E31&amp;" "&amp;S30&amp;" "&amp;$C$7,$G32,"UpdFreq="&amp;$A$3)),_xll.BDP($C$5&amp;$C30&amp;$E31&amp;" "&amp;S30&amp;" "&amp;$C$7,$G32,"UpdFreq="&amp;$A$3),"")</f>
        <v/>
      </c>
      <c r="T32" s="259" t="str">
        <f ca="1">IF(ISNUMBER(_xll.BDP($C$5&amp;$C30&amp;$E31&amp;" "&amp;T30&amp;" "&amp;$C$7,$G32,"UpdFreq="&amp;$A$3)),_xll.BDP($C$5&amp;$C30&amp;$E31&amp;" "&amp;T30&amp;" "&amp;$C$7,$G32,"UpdFreq="&amp;$A$3),"")</f>
        <v/>
      </c>
    </row>
    <row r="33" spans="2:20">
      <c r="B33" s="247" t="s">
        <v>56</v>
      </c>
      <c r="C33" s="248" t="e">
        <f ca="1">_xll.BDP($C$5&amp;C30&amp;" "&amp;$C$7, G34)</f>
        <v>#NAME?</v>
      </c>
      <c r="E33" s="121" t="s">
        <v>185</v>
      </c>
      <c r="F33" s="265" t="s">
        <v>186</v>
      </c>
      <c r="G33" s="266" t="s">
        <v>56</v>
      </c>
      <c r="H33" s="257" t="str">
        <f ca="1">IF(ISNUMBER(_xll.BDP($C$5&amp;$C30&amp;$E33&amp;" "&amp;H30&amp;" "&amp;$C$7,$G33,"UpdFreq="&amp;$A$3)),_xll.BDP($C$5&amp;$C30&amp;$E33&amp;" "&amp;H30&amp;" "&amp;$C$7,$G33,"UpdFreq="&amp;$A$3),"")</f>
        <v/>
      </c>
      <c r="I33" s="258" t="str">
        <f ca="1">IF(ISNUMBER(_xll.BDP($C$5&amp;$C30&amp;$E33&amp;" "&amp;I30&amp;" "&amp;$C$7,$G33,"UpdFreq="&amp;$A$3)),_xll.BDP($C$5&amp;$C30&amp;$E33&amp;" "&amp;I30&amp;" "&amp;$C$7,$G33,"UpdFreq="&amp;$A$3),"")</f>
        <v/>
      </c>
      <c r="J33" s="258" t="str">
        <f ca="1">IF(ISNUMBER(_xll.BDP($C$5&amp;$C30&amp;$E33&amp;" "&amp;J30&amp;" "&amp;$C$7,$G33,"UpdFreq="&amp;$A$3)),_xll.BDP($C$5&amp;$C30&amp;$E33&amp;" "&amp;J30&amp;" "&amp;$C$7,$G33,"UpdFreq="&amp;$A$3),"")</f>
        <v/>
      </c>
      <c r="K33" s="258" t="str">
        <f ca="1">IF(ISNUMBER(_xll.BDP($C$5&amp;$C30&amp;$E33&amp;" "&amp;K30&amp;" "&amp;$C$7,$G33,"UpdFreq="&amp;$A$3)),_xll.BDP($C$5&amp;$C30&amp;$E33&amp;" "&amp;K30&amp;" "&amp;$C$7,$G33,"UpdFreq="&amp;$A$3),"")</f>
        <v/>
      </c>
      <c r="L33" s="258" t="str">
        <f ca="1">IF(ISNUMBER(_xll.BDP($C$5&amp;$C30&amp;$E33&amp;" "&amp;L30&amp;" "&amp;$C$7,$G33,"UpdFreq="&amp;$A$3)),_xll.BDP($C$5&amp;$C30&amp;$E33&amp;" "&amp;L30&amp;" "&amp;$C$7,$G33,"UpdFreq="&amp;$A$3),"")</f>
        <v/>
      </c>
      <c r="M33" s="258" t="str">
        <f ca="1">IF(ISNUMBER(_xll.BDP($C$5&amp;$C30&amp;$E33&amp;" "&amp;M30&amp;" "&amp;$C$7,$G33,"UpdFreq="&amp;$A$3)),_xll.BDP($C$5&amp;$C30&amp;$E33&amp;" "&amp;M30&amp;" "&amp;$C$7,$G33,"UpdFreq="&amp;$A$3),"")</f>
        <v/>
      </c>
      <c r="N33" s="258" t="str">
        <f ca="1">IF(ISNUMBER(_xll.BDP($C$5&amp;$C30&amp;$E33&amp;" "&amp;N30&amp;" "&amp;$C$7,$G33,"UpdFreq="&amp;$A$3)),_xll.BDP($C$5&amp;$C30&amp;$E33&amp;" "&amp;N30&amp;" "&amp;$C$7,$G33,"UpdFreq="&amp;$A$3),"")</f>
        <v/>
      </c>
      <c r="O33" s="258" t="str">
        <f ca="1">IF(ISNUMBER(_xll.BDP($C$5&amp;$C30&amp;$E33&amp;" "&amp;O30&amp;" "&amp;$C$7,$G33,"UpdFreq="&amp;$A$3)),_xll.BDP($C$5&amp;$C30&amp;$E33&amp;" "&amp;O30&amp;" "&amp;$C$7,$G33,"UpdFreq="&amp;$A$3),"")</f>
        <v/>
      </c>
      <c r="P33" s="258" t="str">
        <f ca="1">IF(ISNUMBER(_xll.BDP($C$5&amp;$C30&amp;$E33&amp;" "&amp;P30&amp;" "&amp;$C$7,$G33,"UpdFreq="&amp;$A$3)),_xll.BDP($C$5&amp;$C30&amp;$E33&amp;" "&amp;P30&amp;" "&amp;$C$7,$G33,"UpdFreq="&amp;$A$3),"")</f>
        <v/>
      </c>
      <c r="Q33" s="258" t="str">
        <f ca="1">IF(ISNUMBER(_xll.BDP($C$5&amp;$C30&amp;$E33&amp;" "&amp;Q30&amp;" "&amp;$C$7,$G33,"UpdFreq="&amp;$A$3)),_xll.BDP($C$5&amp;$C30&amp;$E33&amp;" "&amp;Q30&amp;" "&amp;$C$7,$G33,"UpdFreq="&amp;$A$3),"")</f>
        <v/>
      </c>
      <c r="R33" s="258" t="str">
        <f ca="1">IF(ISNUMBER(_xll.BDP($C$5&amp;$C30&amp;$E33&amp;" "&amp;R30&amp;" "&amp;$C$7,$G33,"UpdFreq="&amp;$A$3)),_xll.BDP($C$5&amp;$C30&amp;$E33&amp;" "&amp;R30&amp;" "&amp;$C$7,$G33,"UpdFreq="&amp;$A$3),"")</f>
        <v/>
      </c>
      <c r="S33" s="258" t="str">
        <f ca="1">IF(ISNUMBER(_xll.BDP($C$5&amp;$C30&amp;$E33&amp;" "&amp;S30&amp;" "&amp;$C$7,$G33,"UpdFreq="&amp;$A$3)),_xll.BDP($C$5&amp;$C30&amp;$E33&amp;" "&amp;S30&amp;" "&amp;$C$7,$G33,"UpdFreq="&amp;$A$3),"")</f>
        <v/>
      </c>
      <c r="T33" s="259" t="str">
        <f ca="1">IF(ISNUMBER(_xll.BDP($C$5&amp;$C30&amp;$E33&amp;" "&amp;T30&amp;" "&amp;$C$7,$G33,"UpdFreq="&amp;$A$3)),_xll.BDP($C$5&amp;$C30&amp;$E33&amp;" "&amp;T30&amp;" "&amp;$C$7,$G33,"UpdFreq="&amp;$A$3),"")</f>
        <v/>
      </c>
    </row>
    <row r="34" spans="2:20" ht="13.5" thickBot="1">
      <c r="B34" s="249" t="s">
        <v>187</v>
      </c>
      <c r="C34" s="250" t="e">
        <f ca="1">IF(ISNUMBER($N31),_xll.BDP($C$5&amp;$C30&amp;$E31&amp;" "&amp;N30&amp;" "&amp;$C$7,"OPT_EXPIRE_DT"),_xll.BDP($C$5&amp;$C30&amp;$E31&amp;" "&amp;M30&amp;" "&amp;$C$7,"OPT_EXPIRE_DT"))</f>
        <v>#NAME?</v>
      </c>
      <c r="F34" s="267"/>
      <c r="G34" s="268" t="s">
        <v>57</v>
      </c>
      <c r="H34" s="260" t="str">
        <f ca="1">IF(ISNUMBER(_xll.BDP($C$5&amp;$C30&amp;$E33&amp;" "&amp;H30&amp;" "&amp;$C$7,$G34,"UpdFreq="&amp;$A$3)),_xll.BDP($C$5&amp;$C30&amp;$E33&amp;" "&amp;H30&amp;" "&amp;$C$7,$G34,"UpdFreq="&amp;$A$3),"")</f>
        <v/>
      </c>
      <c r="I34" s="261" t="str">
        <f ca="1">IF(ISNUMBER(_xll.BDP($C$5&amp;$C30&amp;$E33&amp;" "&amp;I30&amp;" "&amp;$C$7,$G34,"UpdFreq="&amp;$A$3)),_xll.BDP($C$5&amp;$C30&amp;$E33&amp;" "&amp;I30&amp;" "&amp;$C$7,$G34,"UpdFreq="&amp;$A$3),"")</f>
        <v/>
      </c>
      <c r="J34" s="261" t="str">
        <f ca="1">IF(ISNUMBER(_xll.BDP($C$5&amp;$C30&amp;$E33&amp;" "&amp;J30&amp;" "&amp;$C$7,$G34,"UpdFreq="&amp;$A$3)),_xll.BDP($C$5&amp;$C30&amp;$E33&amp;" "&amp;J30&amp;" "&amp;$C$7,$G34,"UpdFreq="&amp;$A$3),"")</f>
        <v/>
      </c>
      <c r="K34" s="261" t="str">
        <f ca="1">IF(ISNUMBER(_xll.BDP($C$5&amp;$C30&amp;$E33&amp;" "&amp;K30&amp;" "&amp;$C$7,$G34,"UpdFreq="&amp;$A$3)),_xll.BDP($C$5&amp;$C30&amp;$E33&amp;" "&amp;K30&amp;" "&amp;$C$7,$G34,"UpdFreq="&amp;$A$3),"")</f>
        <v/>
      </c>
      <c r="L34" s="261" t="str">
        <f ca="1">IF(ISNUMBER(_xll.BDP($C$5&amp;$C30&amp;$E33&amp;" "&amp;L30&amp;" "&amp;$C$7,$G34,"UpdFreq="&amp;$A$3)),_xll.BDP($C$5&amp;$C30&amp;$E33&amp;" "&amp;L30&amp;" "&amp;$C$7,$G34,"UpdFreq="&amp;$A$3),"")</f>
        <v/>
      </c>
      <c r="M34" s="261" t="str">
        <f ca="1">IF(ISNUMBER(_xll.BDP($C$5&amp;$C30&amp;$E33&amp;" "&amp;M30&amp;" "&amp;$C$7,$G34,"UpdFreq="&amp;$A$3)),_xll.BDP($C$5&amp;$C30&amp;$E33&amp;" "&amp;M30&amp;" "&amp;$C$7,$G34,"UpdFreq="&amp;$A$3),"")</f>
        <v/>
      </c>
      <c r="N34" s="261" t="str">
        <f ca="1">IF(ISNUMBER(_xll.BDP($C$5&amp;$C30&amp;$E33&amp;" "&amp;N30&amp;" "&amp;$C$7,$G34,"UpdFreq="&amp;$A$3)),_xll.BDP($C$5&amp;$C30&amp;$E33&amp;" "&amp;N30&amp;" "&amp;$C$7,$G34,"UpdFreq="&amp;$A$3),"")</f>
        <v/>
      </c>
      <c r="O34" s="261" t="str">
        <f ca="1">IF(ISNUMBER(_xll.BDP($C$5&amp;$C30&amp;$E33&amp;" "&amp;O30&amp;" "&amp;$C$7,$G34,"UpdFreq="&amp;$A$3)),_xll.BDP($C$5&amp;$C30&amp;$E33&amp;" "&amp;O30&amp;" "&amp;$C$7,$G34,"UpdFreq="&amp;$A$3),"")</f>
        <v/>
      </c>
      <c r="P34" s="261" t="str">
        <f ca="1">IF(ISNUMBER(_xll.BDP($C$5&amp;$C30&amp;$E33&amp;" "&amp;P30&amp;" "&amp;$C$7,$G34,"UpdFreq="&amp;$A$3)),_xll.BDP($C$5&amp;$C30&amp;$E33&amp;" "&amp;P30&amp;" "&amp;$C$7,$G34,"UpdFreq="&amp;$A$3),"")</f>
        <v/>
      </c>
      <c r="Q34" s="261" t="str">
        <f ca="1">IF(ISNUMBER(_xll.BDP($C$5&amp;$C30&amp;$E33&amp;" "&amp;Q30&amp;" "&amp;$C$7,$G34,"UpdFreq="&amp;$A$3)),_xll.BDP($C$5&amp;$C30&amp;$E33&amp;" "&amp;Q30&amp;" "&amp;$C$7,$G34,"UpdFreq="&amp;$A$3),"")</f>
        <v/>
      </c>
      <c r="R34" s="261" t="str">
        <f ca="1">IF(ISNUMBER(_xll.BDP($C$5&amp;$C30&amp;$E33&amp;" "&amp;R30&amp;" "&amp;$C$7,$G34,"UpdFreq="&amp;$A$3)),_xll.BDP($C$5&amp;$C30&amp;$E33&amp;" "&amp;R30&amp;" "&amp;$C$7,$G34,"UpdFreq="&amp;$A$3),"")</f>
        <v/>
      </c>
      <c r="S34" s="261" t="str">
        <f ca="1">IF(ISNUMBER(_xll.BDP($C$5&amp;$C30&amp;$E33&amp;" "&amp;S30&amp;" "&amp;$C$7,$G34,"UpdFreq="&amp;$A$3)),_xll.BDP($C$5&amp;$C30&amp;$E33&amp;" "&amp;S30&amp;" "&amp;$C$7,$G34,"UpdFreq="&amp;$A$3),"")</f>
        <v/>
      </c>
      <c r="T34" s="262" t="str">
        <f ca="1">IF(ISNUMBER(_xll.BDP($C$5&amp;$C30&amp;$E33&amp;" "&amp;T30&amp;" "&amp;$C$7,$G34,"UpdFreq="&amp;$A$3)),_xll.BDP($C$5&amp;$C30&amp;$E33&amp;" "&amp;T30&amp;" "&amp;$C$7,$G34,"UpdFreq="&amp;$A$3),"")</f>
        <v/>
      </c>
    </row>
    <row r="35" spans="2:20" ht="13.5" thickBot="1">
      <c r="G35" s="121"/>
      <c r="H35" s="121"/>
      <c r="K35" s="121"/>
    </row>
    <row r="36" spans="2:20" ht="13.5" thickBot="1">
      <c r="B36" s="241" t="s">
        <v>181</v>
      </c>
      <c r="C36" s="242" t="s">
        <v>192</v>
      </c>
      <c r="G36" s="121"/>
      <c r="H36" s="251" t="e">
        <f t="shared" ref="H36:M36" ca="1" si="8">I36-$C$6</f>
        <v>#NAME?</v>
      </c>
      <c r="I36" s="252" t="e">
        <f t="shared" ca="1" si="8"/>
        <v>#NAME?</v>
      </c>
      <c r="J36" s="252" t="e">
        <f t="shared" ca="1" si="8"/>
        <v>#NAME?</v>
      </c>
      <c r="K36" s="252" t="e">
        <f t="shared" ca="1" si="8"/>
        <v>#NAME?</v>
      </c>
      <c r="L36" s="252" t="e">
        <f t="shared" ca="1" si="8"/>
        <v>#NAME?</v>
      </c>
      <c r="M36" s="252" t="e">
        <f t="shared" ca="1" si="8"/>
        <v>#NAME?</v>
      </c>
      <c r="N36" s="253" t="e">
        <f ca="1">ROUND($C37/($C$6),0)*$C$6</f>
        <v>#NAME?</v>
      </c>
      <c r="O36" s="252" t="e">
        <f t="shared" ref="O36:T36" ca="1" si="9">N36+$C$6</f>
        <v>#NAME?</v>
      </c>
      <c r="P36" s="252" t="e">
        <f t="shared" ca="1" si="9"/>
        <v>#NAME?</v>
      </c>
      <c r="Q36" s="252" t="e">
        <f t="shared" ca="1" si="9"/>
        <v>#NAME?</v>
      </c>
      <c r="R36" s="252" t="e">
        <f t="shared" ca="1" si="9"/>
        <v>#NAME?</v>
      </c>
      <c r="S36" s="252" t="e">
        <f t="shared" ca="1" si="9"/>
        <v>#NAME?</v>
      </c>
      <c r="T36" s="252" t="e">
        <f t="shared" ca="1" si="9"/>
        <v>#NAME?</v>
      </c>
    </row>
    <row r="37" spans="2:20">
      <c r="B37" s="243" t="s">
        <v>182</v>
      </c>
      <c r="C37" s="244" t="e">
        <f ca="1">AVERAGE(C38:C39)</f>
        <v>#NAME?</v>
      </c>
      <c r="E37" s="121" t="s">
        <v>183</v>
      </c>
      <c r="F37" s="263" t="s">
        <v>184</v>
      </c>
      <c r="G37" s="264" t="s">
        <v>56</v>
      </c>
      <c r="H37" s="254" t="str">
        <f ca="1">IF(ISNUMBER(_xll.BDP($C$5&amp;$C36&amp;$E37&amp;" "&amp;H36&amp;" "&amp;$C$7,$G37,"UpdFreq="&amp;$A$3)),_xll.BDP($C$5&amp;$C36&amp;$E37&amp;" "&amp;H36&amp;" "&amp;$C$7,$G37,"UpdFreq="&amp;$A$3),"")</f>
        <v/>
      </c>
      <c r="I37" s="255" t="str">
        <f ca="1">IF(ISNUMBER(_xll.BDP($C$5&amp;$C36&amp;$E37&amp;" "&amp;I36&amp;" "&amp;$C$7,$G37,"UpdFreq="&amp;$A$3)),_xll.BDP($C$5&amp;$C36&amp;$E37&amp;" "&amp;I36&amp;" "&amp;$C$7,$G37,"UpdFreq="&amp;$A$3),"")</f>
        <v/>
      </c>
      <c r="J37" s="255" t="str">
        <f ca="1">IF(ISNUMBER(_xll.BDP($C$5&amp;$C36&amp;$E37&amp;" "&amp;J36&amp;" "&amp;$C$7,$G37,"UpdFreq="&amp;$A$3)),_xll.BDP($C$5&amp;$C36&amp;$E37&amp;" "&amp;J36&amp;" "&amp;$C$7,$G37,"UpdFreq="&amp;$A$3),"")</f>
        <v/>
      </c>
      <c r="K37" s="255" t="str">
        <f ca="1">IF(ISNUMBER(_xll.BDP($C$5&amp;$C36&amp;$E37&amp;" "&amp;K36&amp;" "&amp;$C$7,$G37,"UpdFreq="&amp;$A$3)),_xll.BDP($C$5&amp;$C36&amp;$E37&amp;" "&amp;K36&amp;" "&amp;$C$7,$G37,"UpdFreq="&amp;$A$3),"")</f>
        <v/>
      </c>
      <c r="L37" s="255" t="str">
        <f ca="1">IF(ISNUMBER(_xll.BDP($C$5&amp;$C36&amp;$E37&amp;" "&amp;L36&amp;" "&amp;$C$7,$G37,"UpdFreq="&amp;$A$3)),_xll.BDP($C$5&amp;$C36&amp;$E37&amp;" "&amp;L36&amp;" "&amp;$C$7,$G37,"UpdFreq="&amp;$A$3),"")</f>
        <v/>
      </c>
      <c r="M37" s="255" t="str">
        <f ca="1">IF(ISNUMBER(_xll.BDP($C$5&amp;$C36&amp;$E37&amp;" "&amp;M36&amp;" "&amp;$C$7,$G37,"UpdFreq="&amp;$A$3)),_xll.BDP($C$5&amp;$C36&amp;$E37&amp;" "&amp;M36&amp;" "&amp;$C$7,$G37,"UpdFreq="&amp;$A$3),"")</f>
        <v/>
      </c>
      <c r="N37" s="255" t="str">
        <f ca="1">IF(ISNUMBER(_xll.BDP($C$5&amp;$C36&amp;$E37&amp;" "&amp;N36&amp;" "&amp;$C$7,$G37,"UpdFreq="&amp;$A$3)),_xll.BDP($C$5&amp;$C36&amp;$E37&amp;" "&amp;N36&amp;" "&amp;$C$7,$G37,"UpdFreq="&amp;$A$3),"")</f>
        <v/>
      </c>
      <c r="O37" s="255" t="str">
        <f ca="1">IF(ISNUMBER(_xll.BDP($C$5&amp;$C36&amp;$E37&amp;" "&amp;O36&amp;" "&amp;$C$7,$G37,"UpdFreq="&amp;$A$3)),_xll.BDP($C$5&amp;$C36&amp;$E37&amp;" "&amp;O36&amp;" "&amp;$C$7,$G37,"UpdFreq="&amp;$A$3),"")</f>
        <v/>
      </c>
      <c r="P37" s="255" t="str">
        <f ca="1">IF(ISNUMBER(_xll.BDP($C$5&amp;$C36&amp;$E37&amp;" "&amp;P36&amp;" "&amp;$C$7,$G37,"UpdFreq="&amp;$A$3)),_xll.BDP($C$5&amp;$C36&amp;$E37&amp;" "&amp;P36&amp;" "&amp;$C$7,$G37,"UpdFreq="&amp;$A$3),"")</f>
        <v/>
      </c>
      <c r="Q37" s="255" t="str">
        <f ca="1">IF(ISNUMBER(_xll.BDP($C$5&amp;$C36&amp;$E37&amp;" "&amp;Q36&amp;" "&amp;$C$7,$G37,"UpdFreq="&amp;$A$3)),_xll.BDP($C$5&amp;$C36&amp;$E37&amp;" "&amp;Q36&amp;" "&amp;$C$7,$G37,"UpdFreq="&amp;$A$3),"")</f>
        <v/>
      </c>
      <c r="R37" s="255" t="str">
        <f ca="1">IF(ISNUMBER(_xll.BDP($C$5&amp;$C36&amp;$E37&amp;" "&amp;R36&amp;" "&amp;$C$7,$G37,"UpdFreq="&amp;$A$3)),_xll.BDP($C$5&amp;$C36&amp;$E37&amp;" "&amp;R36&amp;" "&amp;$C$7,$G37,"UpdFreq="&amp;$A$3),"")</f>
        <v/>
      </c>
      <c r="S37" s="255" t="str">
        <f ca="1">IF(ISNUMBER(_xll.BDP($C$5&amp;$C36&amp;$E37&amp;" "&amp;S36&amp;" "&amp;$C$7,$G37,"UpdFreq="&amp;$A$3)),_xll.BDP($C$5&amp;$C36&amp;$E37&amp;" "&amp;S36&amp;" "&amp;$C$7,$G37,"UpdFreq="&amp;$A$3),"")</f>
        <v/>
      </c>
      <c r="T37" s="256" t="str">
        <f ca="1">IF(ISNUMBER(_xll.BDP($C$5&amp;$C36&amp;$E37&amp;" "&amp;T36&amp;" "&amp;$C$7,$G37,"UpdFreq="&amp;$A$3)),_xll.BDP($C$5&amp;$C36&amp;$E37&amp;" "&amp;T36&amp;" "&amp;$C$7,$G37,"UpdFreq="&amp;$A$3),"")</f>
        <v/>
      </c>
    </row>
    <row r="38" spans="2:20">
      <c r="B38" s="245" t="s">
        <v>57</v>
      </c>
      <c r="C38" s="246" t="e">
        <f ca="1">_xll.BDP($C$5&amp;C36&amp;" "&amp;$C$7, G39)</f>
        <v>#NAME?</v>
      </c>
      <c r="F38" s="265"/>
      <c r="G38" s="266" t="s">
        <v>57</v>
      </c>
      <c r="H38" s="257" t="str">
        <f ca="1">IF(ISNUMBER(_xll.BDP($C$5&amp;$C36&amp;$E37&amp;" "&amp;H36&amp;" "&amp;$C$7,$G38,"UpdFreq="&amp;$A$3)),_xll.BDP($C$5&amp;$C36&amp;$E37&amp;" "&amp;H36&amp;" "&amp;$C$7,$G38,"UpdFreq="&amp;$A$3),"")</f>
        <v/>
      </c>
      <c r="I38" s="258" t="str">
        <f ca="1">IF(ISNUMBER(_xll.BDP($C$5&amp;$C36&amp;$E37&amp;" "&amp;I36&amp;" "&amp;$C$7,$G38,"UpdFreq="&amp;$A$3)),_xll.BDP($C$5&amp;$C36&amp;$E37&amp;" "&amp;I36&amp;" "&amp;$C$7,$G38,"UpdFreq="&amp;$A$3),"")</f>
        <v/>
      </c>
      <c r="J38" s="258" t="str">
        <f ca="1">IF(ISNUMBER(_xll.BDP($C$5&amp;$C36&amp;$E37&amp;" "&amp;J36&amp;" "&amp;$C$7,$G38,"UpdFreq="&amp;$A$3)),_xll.BDP($C$5&amp;$C36&amp;$E37&amp;" "&amp;J36&amp;" "&amp;$C$7,$G38,"UpdFreq="&amp;$A$3),"")</f>
        <v/>
      </c>
      <c r="K38" s="258" t="str">
        <f ca="1">IF(ISNUMBER(_xll.BDP($C$5&amp;$C36&amp;$E37&amp;" "&amp;K36&amp;" "&amp;$C$7,$G38,"UpdFreq="&amp;$A$3)),_xll.BDP($C$5&amp;$C36&amp;$E37&amp;" "&amp;K36&amp;" "&amp;$C$7,$G38,"UpdFreq="&amp;$A$3),"")</f>
        <v/>
      </c>
      <c r="L38" s="258" t="str">
        <f ca="1">IF(ISNUMBER(_xll.BDP($C$5&amp;$C36&amp;$E37&amp;" "&amp;L36&amp;" "&amp;$C$7,$G38,"UpdFreq="&amp;$A$3)),_xll.BDP($C$5&amp;$C36&amp;$E37&amp;" "&amp;L36&amp;" "&amp;$C$7,$G38,"UpdFreq="&amp;$A$3),"")</f>
        <v/>
      </c>
      <c r="M38" s="258" t="str">
        <f ca="1">IF(ISNUMBER(_xll.BDP($C$5&amp;$C36&amp;$E37&amp;" "&amp;M36&amp;" "&amp;$C$7,$G38,"UpdFreq="&amp;$A$3)),_xll.BDP($C$5&amp;$C36&amp;$E37&amp;" "&amp;M36&amp;" "&amp;$C$7,$G38,"UpdFreq="&amp;$A$3),"")</f>
        <v/>
      </c>
      <c r="N38" s="258" t="str">
        <f ca="1">IF(ISNUMBER(_xll.BDP($C$5&amp;$C36&amp;$E37&amp;" "&amp;N36&amp;" "&amp;$C$7,$G38,"UpdFreq="&amp;$A$3)),_xll.BDP($C$5&amp;$C36&amp;$E37&amp;" "&amp;N36&amp;" "&amp;$C$7,$G38,"UpdFreq="&amp;$A$3),"")</f>
        <v/>
      </c>
      <c r="O38" s="258" t="str">
        <f ca="1">IF(ISNUMBER(_xll.BDP($C$5&amp;$C36&amp;$E37&amp;" "&amp;O36&amp;" "&amp;$C$7,$G38,"UpdFreq="&amp;$A$3)),_xll.BDP($C$5&amp;$C36&amp;$E37&amp;" "&amp;O36&amp;" "&amp;$C$7,$G38,"UpdFreq="&amp;$A$3),"")</f>
        <v/>
      </c>
      <c r="P38" s="258" t="str">
        <f ca="1">IF(ISNUMBER(_xll.BDP($C$5&amp;$C36&amp;$E37&amp;" "&amp;P36&amp;" "&amp;$C$7,$G38,"UpdFreq="&amp;$A$3)),_xll.BDP($C$5&amp;$C36&amp;$E37&amp;" "&amp;P36&amp;" "&amp;$C$7,$G38,"UpdFreq="&amp;$A$3),"")</f>
        <v/>
      </c>
      <c r="Q38" s="258" t="str">
        <f ca="1">IF(ISNUMBER(_xll.BDP($C$5&amp;$C36&amp;$E37&amp;" "&amp;Q36&amp;" "&amp;$C$7,$G38,"UpdFreq="&amp;$A$3)),_xll.BDP($C$5&amp;$C36&amp;$E37&amp;" "&amp;Q36&amp;" "&amp;$C$7,$G38,"UpdFreq="&amp;$A$3),"")</f>
        <v/>
      </c>
      <c r="R38" s="258" t="str">
        <f ca="1">IF(ISNUMBER(_xll.BDP($C$5&amp;$C36&amp;$E37&amp;" "&amp;R36&amp;" "&amp;$C$7,$G38,"UpdFreq="&amp;$A$3)),_xll.BDP($C$5&amp;$C36&amp;$E37&amp;" "&amp;R36&amp;" "&amp;$C$7,$G38,"UpdFreq="&amp;$A$3),"")</f>
        <v/>
      </c>
      <c r="S38" s="258" t="str">
        <f ca="1">IF(ISNUMBER(_xll.BDP($C$5&amp;$C36&amp;$E37&amp;" "&amp;S36&amp;" "&amp;$C$7,$G38,"UpdFreq="&amp;$A$3)),_xll.BDP($C$5&amp;$C36&amp;$E37&amp;" "&amp;S36&amp;" "&amp;$C$7,$G38,"UpdFreq="&amp;$A$3),"")</f>
        <v/>
      </c>
      <c r="T38" s="259" t="str">
        <f ca="1">IF(ISNUMBER(_xll.BDP($C$5&amp;$C36&amp;$E37&amp;" "&amp;T36&amp;" "&amp;$C$7,$G38,"UpdFreq="&amp;$A$3)),_xll.BDP($C$5&amp;$C36&amp;$E37&amp;" "&amp;T36&amp;" "&amp;$C$7,$G38,"UpdFreq="&amp;$A$3),"")</f>
        <v/>
      </c>
    </row>
    <row r="39" spans="2:20">
      <c r="B39" s="247" t="s">
        <v>56</v>
      </c>
      <c r="C39" s="248" t="e">
        <f ca="1">_xll.BDP($C$5&amp;C36&amp;" "&amp;$C$7, G40)</f>
        <v>#NAME?</v>
      </c>
      <c r="E39" s="121" t="s">
        <v>185</v>
      </c>
      <c r="F39" s="265" t="s">
        <v>186</v>
      </c>
      <c r="G39" s="266" t="s">
        <v>56</v>
      </c>
      <c r="H39" s="257" t="str">
        <f ca="1">IF(ISNUMBER(_xll.BDP($C$5&amp;$C36&amp;$E39&amp;" "&amp;H36&amp;" "&amp;$C$7,$G39,"UpdFreq="&amp;$A$3)),_xll.BDP($C$5&amp;$C36&amp;$E39&amp;" "&amp;H36&amp;" "&amp;$C$7,$G39,"UpdFreq="&amp;$A$3),"")</f>
        <v/>
      </c>
      <c r="I39" s="258" t="str">
        <f ca="1">IF(ISNUMBER(_xll.BDP($C$5&amp;$C36&amp;$E39&amp;" "&amp;I36&amp;" "&amp;$C$7,$G39,"UpdFreq="&amp;$A$3)),_xll.BDP($C$5&amp;$C36&amp;$E39&amp;" "&amp;I36&amp;" "&amp;$C$7,$G39,"UpdFreq="&amp;$A$3),"")</f>
        <v/>
      </c>
      <c r="J39" s="258" t="str">
        <f ca="1">IF(ISNUMBER(_xll.BDP($C$5&amp;$C36&amp;$E39&amp;" "&amp;J36&amp;" "&amp;$C$7,$G39,"UpdFreq="&amp;$A$3)),_xll.BDP($C$5&amp;$C36&amp;$E39&amp;" "&amp;J36&amp;" "&amp;$C$7,$G39,"UpdFreq="&amp;$A$3),"")</f>
        <v/>
      </c>
      <c r="K39" s="258" t="str">
        <f ca="1">IF(ISNUMBER(_xll.BDP($C$5&amp;$C36&amp;$E39&amp;" "&amp;K36&amp;" "&amp;$C$7,$G39,"UpdFreq="&amp;$A$3)),_xll.BDP($C$5&amp;$C36&amp;$E39&amp;" "&amp;K36&amp;" "&amp;$C$7,$G39,"UpdFreq="&amp;$A$3),"")</f>
        <v/>
      </c>
      <c r="L39" s="258" t="str">
        <f ca="1">IF(ISNUMBER(_xll.BDP($C$5&amp;$C36&amp;$E39&amp;" "&amp;L36&amp;" "&amp;$C$7,$G39,"UpdFreq="&amp;$A$3)),_xll.BDP($C$5&amp;$C36&amp;$E39&amp;" "&amp;L36&amp;" "&amp;$C$7,$G39,"UpdFreq="&amp;$A$3),"")</f>
        <v/>
      </c>
      <c r="M39" s="258" t="str">
        <f ca="1">IF(ISNUMBER(_xll.BDP($C$5&amp;$C36&amp;$E39&amp;" "&amp;M36&amp;" "&amp;$C$7,$G39,"UpdFreq="&amp;$A$3)),_xll.BDP($C$5&amp;$C36&amp;$E39&amp;" "&amp;M36&amp;" "&amp;$C$7,$G39,"UpdFreq="&amp;$A$3),"")</f>
        <v/>
      </c>
      <c r="N39" s="258" t="str">
        <f ca="1">IF(ISNUMBER(_xll.BDP($C$5&amp;$C36&amp;$E39&amp;" "&amp;N36&amp;" "&amp;$C$7,$G39,"UpdFreq="&amp;$A$3)),_xll.BDP($C$5&amp;$C36&amp;$E39&amp;" "&amp;N36&amp;" "&amp;$C$7,$G39,"UpdFreq="&amp;$A$3),"")</f>
        <v/>
      </c>
      <c r="O39" s="258" t="str">
        <f ca="1">IF(ISNUMBER(_xll.BDP($C$5&amp;$C36&amp;$E39&amp;" "&amp;O36&amp;" "&amp;$C$7,$G39,"UpdFreq="&amp;$A$3)),_xll.BDP($C$5&amp;$C36&amp;$E39&amp;" "&amp;O36&amp;" "&amp;$C$7,$G39,"UpdFreq="&amp;$A$3),"")</f>
        <v/>
      </c>
      <c r="P39" s="258" t="str">
        <f ca="1">IF(ISNUMBER(_xll.BDP($C$5&amp;$C36&amp;$E39&amp;" "&amp;P36&amp;" "&amp;$C$7,$G39,"UpdFreq="&amp;$A$3)),_xll.BDP($C$5&amp;$C36&amp;$E39&amp;" "&amp;P36&amp;" "&amp;$C$7,$G39,"UpdFreq="&amp;$A$3),"")</f>
        <v/>
      </c>
      <c r="Q39" s="258" t="str">
        <f ca="1">IF(ISNUMBER(_xll.BDP($C$5&amp;$C36&amp;$E39&amp;" "&amp;Q36&amp;" "&amp;$C$7,$G39,"UpdFreq="&amp;$A$3)),_xll.BDP($C$5&amp;$C36&amp;$E39&amp;" "&amp;Q36&amp;" "&amp;$C$7,$G39,"UpdFreq="&amp;$A$3),"")</f>
        <v/>
      </c>
      <c r="R39" s="258" t="str">
        <f ca="1">IF(ISNUMBER(_xll.BDP($C$5&amp;$C36&amp;$E39&amp;" "&amp;R36&amp;" "&amp;$C$7,$G39,"UpdFreq="&amp;$A$3)),_xll.BDP($C$5&amp;$C36&amp;$E39&amp;" "&amp;R36&amp;" "&amp;$C$7,$G39,"UpdFreq="&amp;$A$3),"")</f>
        <v/>
      </c>
      <c r="S39" s="258" t="str">
        <f ca="1">IF(ISNUMBER(_xll.BDP($C$5&amp;$C36&amp;$E39&amp;" "&amp;S36&amp;" "&amp;$C$7,$G39,"UpdFreq="&amp;$A$3)),_xll.BDP($C$5&amp;$C36&amp;$E39&amp;" "&amp;S36&amp;" "&amp;$C$7,$G39,"UpdFreq="&amp;$A$3),"")</f>
        <v/>
      </c>
      <c r="T39" s="259" t="str">
        <f ca="1">IF(ISNUMBER(_xll.BDP($C$5&amp;$C36&amp;$E39&amp;" "&amp;T36&amp;" "&amp;$C$7,$G39,"UpdFreq="&amp;$A$3)),_xll.BDP($C$5&amp;$C36&amp;$E39&amp;" "&amp;T36&amp;" "&amp;$C$7,$G39,"UpdFreq="&amp;$A$3),"")</f>
        <v/>
      </c>
    </row>
    <row r="40" spans="2:20" ht="13.5" thickBot="1">
      <c r="B40" s="249" t="s">
        <v>187</v>
      </c>
      <c r="C40" s="250" t="e">
        <f ca="1">IF(ISNUMBER($N37),_xll.BDP($C$5&amp;$C36&amp;$E37&amp;" "&amp;N36&amp;" "&amp;$C$7,"OPT_EXPIRE_DT"),_xll.BDP($C$5&amp;$C36&amp;$E37&amp;" "&amp;M36&amp;" "&amp;$C$7,"OPT_EXPIRE_DT"))</f>
        <v>#NAME?</v>
      </c>
      <c r="F40" s="267"/>
      <c r="G40" s="268" t="s">
        <v>57</v>
      </c>
      <c r="H40" s="260" t="str">
        <f ca="1">IF(ISNUMBER(_xll.BDP($C$5&amp;$C36&amp;$E39&amp;" "&amp;H36&amp;" "&amp;$C$7,$G40,"UpdFreq="&amp;$A$3)),_xll.BDP($C$5&amp;$C36&amp;$E39&amp;" "&amp;H36&amp;" "&amp;$C$7,$G40,"UpdFreq="&amp;$A$3),"")</f>
        <v/>
      </c>
      <c r="I40" s="261" t="str">
        <f ca="1">IF(ISNUMBER(_xll.BDP($C$5&amp;$C36&amp;$E39&amp;" "&amp;I36&amp;" "&amp;$C$7,$G40,"UpdFreq="&amp;$A$3)),_xll.BDP($C$5&amp;$C36&amp;$E39&amp;" "&amp;I36&amp;" "&amp;$C$7,$G40,"UpdFreq="&amp;$A$3),"")</f>
        <v/>
      </c>
      <c r="J40" s="261" t="str">
        <f ca="1">IF(ISNUMBER(_xll.BDP($C$5&amp;$C36&amp;$E39&amp;" "&amp;J36&amp;" "&amp;$C$7,$G40,"UpdFreq="&amp;$A$3)),_xll.BDP($C$5&amp;$C36&amp;$E39&amp;" "&amp;J36&amp;" "&amp;$C$7,$G40,"UpdFreq="&amp;$A$3),"")</f>
        <v/>
      </c>
      <c r="K40" s="261" t="str">
        <f ca="1">IF(ISNUMBER(_xll.BDP($C$5&amp;$C36&amp;$E39&amp;" "&amp;K36&amp;" "&amp;$C$7,$G40,"UpdFreq="&amp;$A$3)),_xll.BDP($C$5&amp;$C36&amp;$E39&amp;" "&amp;K36&amp;" "&amp;$C$7,$G40,"UpdFreq="&amp;$A$3),"")</f>
        <v/>
      </c>
      <c r="L40" s="261" t="str">
        <f ca="1">IF(ISNUMBER(_xll.BDP($C$5&amp;$C36&amp;$E39&amp;" "&amp;L36&amp;" "&amp;$C$7,$G40,"UpdFreq="&amp;$A$3)),_xll.BDP($C$5&amp;$C36&amp;$E39&amp;" "&amp;L36&amp;" "&amp;$C$7,$G40,"UpdFreq="&amp;$A$3),"")</f>
        <v/>
      </c>
      <c r="M40" s="261" t="str">
        <f ca="1">IF(ISNUMBER(_xll.BDP($C$5&amp;$C36&amp;$E39&amp;" "&amp;M36&amp;" "&amp;$C$7,$G40,"UpdFreq="&amp;$A$3)),_xll.BDP($C$5&amp;$C36&amp;$E39&amp;" "&amp;M36&amp;" "&amp;$C$7,$G40,"UpdFreq="&amp;$A$3),"")</f>
        <v/>
      </c>
      <c r="N40" s="261" t="str">
        <f ca="1">IF(ISNUMBER(_xll.BDP($C$5&amp;$C36&amp;$E39&amp;" "&amp;N36&amp;" "&amp;$C$7,$G40,"UpdFreq="&amp;$A$3)),_xll.BDP($C$5&amp;$C36&amp;$E39&amp;" "&amp;N36&amp;" "&amp;$C$7,$G40,"UpdFreq="&amp;$A$3),"")</f>
        <v/>
      </c>
      <c r="O40" s="261" t="str">
        <f ca="1">IF(ISNUMBER(_xll.BDP($C$5&amp;$C36&amp;$E39&amp;" "&amp;O36&amp;" "&amp;$C$7,$G40,"UpdFreq="&amp;$A$3)),_xll.BDP($C$5&amp;$C36&amp;$E39&amp;" "&amp;O36&amp;" "&amp;$C$7,$G40,"UpdFreq="&amp;$A$3),"")</f>
        <v/>
      </c>
      <c r="P40" s="261" t="str">
        <f ca="1">IF(ISNUMBER(_xll.BDP($C$5&amp;$C36&amp;$E39&amp;" "&amp;P36&amp;" "&amp;$C$7,$G40,"UpdFreq="&amp;$A$3)),_xll.BDP($C$5&amp;$C36&amp;$E39&amp;" "&amp;P36&amp;" "&amp;$C$7,$G40,"UpdFreq="&amp;$A$3),"")</f>
        <v/>
      </c>
      <c r="Q40" s="261" t="str">
        <f ca="1">IF(ISNUMBER(_xll.BDP($C$5&amp;$C36&amp;$E39&amp;" "&amp;Q36&amp;" "&amp;$C$7,$G40,"UpdFreq="&amp;$A$3)),_xll.BDP($C$5&amp;$C36&amp;$E39&amp;" "&amp;Q36&amp;" "&amp;$C$7,$G40,"UpdFreq="&amp;$A$3),"")</f>
        <v/>
      </c>
      <c r="R40" s="261" t="str">
        <f ca="1">IF(ISNUMBER(_xll.BDP($C$5&amp;$C36&amp;$E39&amp;" "&amp;R36&amp;" "&amp;$C$7,$G40,"UpdFreq="&amp;$A$3)),_xll.BDP($C$5&amp;$C36&amp;$E39&amp;" "&amp;R36&amp;" "&amp;$C$7,$G40,"UpdFreq="&amp;$A$3),"")</f>
        <v/>
      </c>
      <c r="S40" s="261" t="str">
        <f ca="1">IF(ISNUMBER(_xll.BDP($C$5&amp;$C36&amp;$E39&amp;" "&amp;S36&amp;" "&amp;$C$7,$G40,"UpdFreq="&amp;$A$3)),_xll.BDP($C$5&amp;$C36&amp;$E39&amp;" "&amp;S36&amp;" "&amp;$C$7,$G40,"UpdFreq="&amp;$A$3),"")</f>
        <v/>
      </c>
      <c r="T40" s="262" t="str">
        <f ca="1">IF(ISNUMBER(_xll.BDP($C$5&amp;$C36&amp;$E39&amp;" "&amp;T36&amp;" "&amp;$C$7,$G40,"UpdFreq="&amp;$A$3)),_xll.BDP($C$5&amp;$C36&amp;$E39&amp;" "&amp;T36&amp;" "&amp;$C$7,$G40,"UpdFreq="&amp;$A$3),"")</f>
        <v/>
      </c>
    </row>
    <row r="41" spans="2:20" ht="13.5" thickBot="1">
      <c r="G41" s="121"/>
      <c r="H41" s="121"/>
      <c r="K41" s="121"/>
    </row>
    <row r="42" spans="2:20" ht="13.5" thickBot="1">
      <c r="B42" s="241" t="s">
        <v>181</v>
      </c>
      <c r="C42" s="242" t="s">
        <v>193</v>
      </c>
      <c r="G42" s="121"/>
      <c r="H42" s="251" t="e">
        <f t="shared" ref="H42:M42" ca="1" si="10">I42-$C$6</f>
        <v>#NAME?</v>
      </c>
      <c r="I42" s="252" t="e">
        <f t="shared" ca="1" si="10"/>
        <v>#NAME?</v>
      </c>
      <c r="J42" s="252" t="e">
        <f t="shared" ca="1" si="10"/>
        <v>#NAME?</v>
      </c>
      <c r="K42" s="252" t="e">
        <f t="shared" ca="1" si="10"/>
        <v>#NAME?</v>
      </c>
      <c r="L42" s="252" t="e">
        <f t="shared" ca="1" si="10"/>
        <v>#NAME?</v>
      </c>
      <c r="M42" s="252" t="e">
        <f t="shared" ca="1" si="10"/>
        <v>#NAME?</v>
      </c>
      <c r="N42" s="253" t="e">
        <f ca="1">ROUND($C43/($C$6),0)*$C$6</f>
        <v>#NAME?</v>
      </c>
      <c r="O42" s="252" t="e">
        <f t="shared" ref="O42:T42" ca="1" si="11">N42+$C$6</f>
        <v>#NAME?</v>
      </c>
      <c r="P42" s="252" t="e">
        <f t="shared" ca="1" si="11"/>
        <v>#NAME?</v>
      </c>
      <c r="Q42" s="252" t="e">
        <f t="shared" ca="1" si="11"/>
        <v>#NAME?</v>
      </c>
      <c r="R42" s="252" t="e">
        <f t="shared" ca="1" si="11"/>
        <v>#NAME?</v>
      </c>
      <c r="S42" s="252" t="e">
        <f t="shared" ca="1" si="11"/>
        <v>#NAME?</v>
      </c>
      <c r="T42" s="252" t="e">
        <f t="shared" ca="1" si="11"/>
        <v>#NAME?</v>
      </c>
    </row>
    <row r="43" spans="2:20">
      <c r="B43" s="243" t="s">
        <v>182</v>
      </c>
      <c r="C43" s="244" t="e">
        <f ca="1">AVERAGE(C44:C45)</f>
        <v>#NAME?</v>
      </c>
      <c r="E43" s="121" t="s">
        <v>183</v>
      </c>
      <c r="F43" s="263" t="s">
        <v>184</v>
      </c>
      <c r="G43" s="264" t="s">
        <v>56</v>
      </c>
      <c r="H43" s="254" t="str">
        <f ca="1">IF(ISNUMBER(_xll.BDP($C$5&amp;$C42&amp;$E43&amp;" "&amp;H42&amp;" "&amp;$C$7,$G43,"UpdFreq="&amp;$A$3)),_xll.BDP($C$5&amp;$C42&amp;$E43&amp;" "&amp;H42&amp;" "&amp;$C$7,$G43,"UpdFreq="&amp;$A$3),"")</f>
        <v/>
      </c>
      <c r="I43" s="255" t="str">
        <f ca="1">IF(ISNUMBER(_xll.BDP($C$5&amp;$C42&amp;$E43&amp;" "&amp;I42&amp;" "&amp;$C$7,$G43,"UpdFreq="&amp;$A$3)),_xll.BDP($C$5&amp;$C42&amp;$E43&amp;" "&amp;I42&amp;" "&amp;$C$7,$G43,"UpdFreq="&amp;$A$3),"")</f>
        <v/>
      </c>
      <c r="J43" s="255" t="str">
        <f ca="1">IF(ISNUMBER(_xll.BDP($C$5&amp;$C42&amp;$E43&amp;" "&amp;J42&amp;" "&amp;$C$7,$G43,"UpdFreq="&amp;$A$3)),_xll.BDP($C$5&amp;$C42&amp;$E43&amp;" "&amp;J42&amp;" "&amp;$C$7,$G43,"UpdFreq="&amp;$A$3),"")</f>
        <v/>
      </c>
      <c r="K43" s="255" t="str">
        <f ca="1">IF(ISNUMBER(_xll.BDP($C$5&amp;$C42&amp;$E43&amp;" "&amp;K42&amp;" "&amp;$C$7,$G43,"UpdFreq="&amp;$A$3)),_xll.BDP($C$5&amp;$C42&amp;$E43&amp;" "&amp;K42&amp;" "&amp;$C$7,$G43,"UpdFreq="&amp;$A$3),"")</f>
        <v/>
      </c>
      <c r="L43" s="255" t="str">
        <f ca="1">IF(ISNUMBER(_xll.BDP($C$5&amp;$C42&amp;$E43&amp;" "&amp;L42&amp;" "&amp;$C$7,$G43,"UpdFreq="&amp;$A$3)),_xll.BDP($C$5&amp;$C42&amp;$E43&amp;" "&amp;L42&amp;" "&amp;$C$7,$G43,"UpdFreq="&amp;$A$3),"")</f>
        <v/>
      </c>
      <c r="M43" s="255" t="str">
        <f ca="1">IF(ISNUMBER(_xll.BDP($C$5&amp;$C42&amp;$E43&amp;" "&amp;M42&amp;" "&amp;$C$7,$G43,"UpdFreq="&amp;$A$3)),_xll.BDP($C$5&amp;$C42&amp;$E43&amp;" "&amp;M42&amp;" "&amp;$C$7,$G43,"UpdFreq="&amp;$A$3),"")</f>
        <v/>
      </c>
      <c r="N43" s="255" t="str">
        <f ca="1">IF(ISNUMBER(_xll.BDP($C$5&amp;$C42&amp;$E43&amp;" "&amp;N42&amp;" "&amp;$C$7,$G43,"UpdFreq="&amp;$A$3)),_xll.BDP($C$5&amp;$C42&amp;$E43&amp;" "&amp;N42&amp;" "&amp;$C$7,$G43,"UpdFreq="&amp;$A$3),"")</f>
        <v/>
      </c>
      <c r="O43" s="255" t="str">
        <f ca="1">IF(ISNUMBER(_xll.BDP($C$5&amp;$C42&amp;$E43&amp;" "&amp;O42&amp;" "&amp;$C$7,$G43,"UpdFreq="&amp;$A$3)),_xll.BDP($C$5&amp;$C42&amp;$E43&amp;" "&amp;O42&amp;" "&amp;$C$7,$G43,"UpdFreq="&amp;$A$3),"")</f>
        <v/>
      </c>
      <c r="P43" s="255" t="str">
        <f ca="1">IF(ISNUMBER(_xll.BDP($C$5&amp;$C42&amp;$E43&amp;" "&amp;P42&amp;" "&amp;$C$7,$G43,"UpdFreq="&amp;$A$3)),_xll.BDP($C$5&amp;$C42&amp;$E43&amp;" "&amp;P42&amp;" "&amp;$C$7,$G43,"UpdFreq="&amp;$A$3),"")</f>
        <v/>
      </c>
      <c r="Q43" s="255" t="str">
        <f ca="1">IF(ISNUMBER(_xll.BDP($C$5&amp;$C42&amp;$E43&amp;" "&amp;Q42&amp;" "&amp;$C$7,$G43,"UpdFreq="&amp;$A$3)),_xll.BDP($C$5&amp;$C42&amp;$E43&amp;" "&amp;Q42&amp;" "&amp;$C$7,$G43,"UpdFreq="&amp;$A$3),"")</f>
        <v/>
      </c>
      <c r="R43" s="255" t="str">
        <f ca="1">IF(ISNUMBER(_xll.BDP($C$5&amp;$C42&amp;$E43&amp;" "&amp;R42&amp;" "&amp;$C$7,$G43,"UpdFreq="&amp;$A$3)),_xll.BDP($C$5&amp;$C42&amp;$E43&amp;" "&amp;R42&amp;" "&amp;$C$7,$G43,"UpdFreq="&amp;$A$3),"")</f>
        <v/>
      </c>
      <c r="S43" s="255" t="str">
        <f ca="1">IF(ISNUMBER(_xll.BDP($C$5&amp;$C42&amp;$E43&amp;" "&amp;S42&amp;" "&amp;$C$7,$G43,"UpdFreq="&amp;$A$3)),_xll.BDP($C$5&amp;$C42&amp;$E43&amp;" "&amp;S42&amp;" "&amp;$C$7,$G43,"UpdFreq="&amp;$A$3),"")</f>
        <v/>
      </c>
      <c r="T43" s="256" t="str">
        <f ca="1">IF(ISNUMBER(_xll.BDP($C$5&amp;$C42&amp;$E43&amp;" "&amp;T42&amp;" "&amp;$C$7,$G43,"UpdFreq="&amp;$A$3)),_xll.BDP($C$5&amp;$C42&amp;$E43&amp;" "&amp;T42&amp;" "&amp;$C$7,$G43,"UpdFreq="&amp;$A$3),"")</f>
        <v/>
      </c>
    </row>
    <row r="44" spans="2:20">
      <c r="B44" s="245" t="s">
        <v>57</v>
      </c>
      <c r="C44" s="246" t="e">
        <f ca="1">_xll.BDP($C$5&amp;C42&amp;" "&amp;$C$7, G45)</f>
        <v>#NAME?</v>
      </c>
      <c r="F44" s="265"/>
      <c r="G44" s="266" t="s">
        <v>57</v>
      </c>
      <c r="H44" s="257" t="str">
        <f ca="1">IF(ISNUMBER(_xll.BDP($C$5&amp;$C42&amp;$E43&amp;" "&amp;H42&amp;" "&amp;$C$7,$G44,"UpdFreq="&amp;$A$3)),_xll.BDP($C$5&amp;$C42&amp;$E43&amp;" "&amp;H42&amp;" "&amp;$C$7,$G44,"UpdFreq="&amp;$A$3),"")</f>
        <v/>
      </c>
      <c r="I44" s="258" t="str">
        <f ca="1">IF(ISNUMBER(_xll.BDP($C$5&amp;$C42&amp;$E43&amp;" "&amp;I42&amp;" "&amp;$C$7,$G44,"UpdFreq="&amp;$A$3)),_xll.BDP($C$5&amp;$C42&amp;$E43&amp;" "&amp;I42&amp;" "&amp;$C$7,$G44,"UpdFreq="&amp;$A$3),"")</f>
        <v/>
      </c>
      <c r="J44" s="258" t="str">
        <f ca="1">IF(ISNUMBER(_xll.BDP($C$5&amp;$C42&amp;$E43&amp;" "&amp;J42&amp;" "&amp;$C$7,$G44,"UpdFreq="&amp;$A$3)),_xll.BDP($C$5&amp;$C42&amp;$E43&amp;" "&amp;J42&amp;" "&amp;$C$7,$G44,"UpdFreq="&amp;$A$3),"")</f>
        <v/>
      </c>
      <c r="K44" s="258" t="str">
        <f ca="1">IF(ISNUMBER(_xll.BDP($C$5&amp;$C42&amp;$E43&amp;" "&amp;K42&amp;" "&amp;$C$7,$G44,"UpdFreq="&amp;$A$3)),_xll.BDP($C$5&amp;$C42&amp;$E43&amp;" "&amp;K42&amp;" "&amp;$C$7,$G44,"UpdFreq="&amp;$A$3),"")</f>
        <v/>
      </c>
      <c r="L44" s="258" t="str">
        <f ca="1">IF(ISNUMBER(_xll.BDP($C$5&amp;$C42&amp;$E43&amp;" "&amp;L42&amp;" "&amp;$C$7,$G44,"UpdFreq="&amp;$A$3)),_xll.BDP($C$5&amp;$C42&amp;$E43&amp;" "&amp;L42&amp;" "&amp;$C$7,$G44,"UpdFreq="&amp;$A$3),"")</f>
        <v/>
      </c>
      <c r="M44" s="258" t="str">
        <f ca="1">IF(ISNUMBER(_xll.BDP($C$5&amp;$C42&amp;$E43&amp;" "&amp;M42&amp;" "&amp;$C$7,$G44,"UpdFreq="&amp;$A$3)),_xll.BDP($C$5&amp;$C42&amp;$E43&amp;" "&amp;M42&amp;" "&amp;$C$7,$G44,"UpdFreq="&amp;$A$3),"")</f>
        <v/>
      </c>
      <c r="N44" s="258" t="str">
        <f ca="1">IF(ISNUMBER(_xll.BDP($C$5&amp;$C42&amp;$E43&amp;" "&amp;N42&amp;" "&amp;$C$7,$G44,"UpdFreq="&amp;$A$3)),_xll.BDP($C$5&amp;$C42&amp;$E43&amp;" "&amp;N42&amp;" "&amp;$C$7,$G44,"UpdFreq="&amp;$A$3),"")</f>
        <v/>
      </c>
      <c r="O44" s="258" t="str">
        <f ca="1">IF(ISNUMBER(_xll.BDP($C$5&amp;$C42&amp;$E43&amp;" "&amp;O42&amp;" "&amp;$C$7,$G44,"UpdFreq="&amp;$A$3)),_xll.BDP($C$5&amp;$C42&amp;$E43&amp;" "&amp;O42&amp;" "&amp;$C$7,$G44,"UpdFreq="&amp;$A$3),"")</f>
        <v/>
      </c>
      <c r="P44" s="258" t="str">
        <f ca="1">IF(ISNUMBER(_xll.BDP($C$5&amp;$C42&amp;$E43&amp;" "&amp;P42&amp;" "&amp;$C$7,$G44,"UpdFreq="&amp;$A$3)),_xll.BDP($C$5&amp;$C42&amp;$E43&amp;" "&amp;P42&amp;" "&amp;$C$7,$G44,"UpdFreq="&amp;$A$3),"")</f>
        <v/>
      </c>
      <c r="Q44" s="258" t="str">
        <f ca="1">IF(ISNUMBER(_xll.BDP($C$5&amp;$C42&amp;$E43&amp;" "&amp;Q42&amp;" "&amp;$C$7,$G44,"UpdFreq="&amp;$A$3)),_xll.BDP($C$5&amp;$C42&amp;$E43&amp;" "&amp;Q42&amp;" "&amp;$C$7,$G44,"UpdFreq="&amp;$A$3),"")</f>
        <v/>
      </c>
      <c r="R44" s="258" t="str">
        <f ca="1">IF(ISNUMBER(_xll.BDP($C$5&amp;$C42&amp;$E43&amp;" "&amp;R42&amp;" "&amp;$C$7,$G44,"UpdFreq="&amp;$A$3)),_xll.BDP($C$5&amp;$C42&amp;$E43&amp;" "&amp;R42&amp;" "&amp;$C$7,$G44,"UpdFreq="&amp;$A$3),"")</f>
        <v/>
      </c>
      <c r="S44" s="258" t="str">
        <f ca="1">IF(ISNUMBER(_xll.BDP($C$5&amp;$C42&amp;$E43&amp;" "&amp;S42&amp;" "&amp;$C$7,$G44,"UpdFreq="&amp;$A$3)),_xll.BDP($C$5&amp;$C42&amp;$E43&amp;" "&amp;S42&amp;" "&amp;$C$7,$G44,"UpdFreq="&amp;$A$3),"")</f>
        <v/>
      </c>
      <c r="T44" s="259" t="str">
        <f ca="1">IF(ISNUMBER(_xll.BDP($C$5&amp;$C42&amp;$E43&amp;" "&amp;T42&amp;" "&amp;$C$7,$G44,"UpdFreq="&amp;$A$3)),_xll.BDP($C$5&amp;$C42&amp;$E43&amp;" "&amp;T42&amp;" "&amp;$C$7,$G44,"UpdFreq="&amp;$A$3),"")</f>
        <v/>
      </c>
    </row>
    <row r="45" spans="2:20">
      <c r="B45" s="247" t="s">
        <v>56</v>
      </c>
      <c r="C45" s="248" t="e">
        <f ca="1">_xll.BDP($C$5&amp;C42&amp;" "&amp;$C$7, G46)</f>
        <v>#NAME?</v>
      </c>
      <c r="E45" s="121" t="s">
        <v>185</v>
      </c>
      <c r="F45" s="265" t="s">
        <v>186</v>
      </c>
      <c r="G45" s="266" t="s">
        <v>56</v>
      </c>
      <c r="H45" s="257" t="str">
        <f ca="1">IF(ISNUMBER(_xll.BDP($C$5&amp;$C42&amp;$E45&amp;" "&amp;H42&amp;" "&amp;$C$7,$G45,"UpdFreq="&amp;$A$3)),_xll.BDP($C$5&amp;$C42&amp;$E45&amp;" "&amp;H42&amp;" "&amp;$C$7,$G45,"UpdFreq="&amp;$A$3),"")</f>
        <v/>
      </c>
      <c r="I45" s="258" t="str">
        <f ca="1">IF(ISNUMBER(_xll.BDP($C$5&amp;$C42&amp;$E45&amp;" "&amp;I42&amp;" "&amp;$C$7,$G45,"UpdFreq="&amp;$A$3)),_xll.BDP($C$5&amp;$C42&amp;$E45&amp;" "&amp;I42&amp;" "&amp;$C$7,$G45,"UpdFreq="&amp;$A$3),"")</f>
        <v/>
      </c>
      <c r="J45" s="258" t="str">
        <f ca="1">IF(ISNUMBER(_xll.BDP($C$5&amp;$C42&amp;$E45&amp;" "&amp;J42&amp;" "&amp;$C$7,$G45,"UpdFreq="&amp;$A$3)),_xll.BDP($C$5&amp;$C42&amp;$E45&amp;" "&amp;J42&amp;" "&amp;$C$7,$G45,"UpdFreq="&amp;$A$3),"")</f>
        <v/>
      </c>
      <c r="K45" s="258" t="str">
        <f ca="1">IF(ISNUMBER(_xll.BDP($C$5&amp;$C42&amp;$E45&amp;" "&amp;K42&amp;" "&amp;$C$7,$G45,"UpdFreq="&amp;$A$3)),_xll.BDP($C$5&amp;$C42&amp;$E45&amp;" "&amp;K42&amp;" "&amp;$C$7,$G45,"UpdFreq="&amp;$A$3),"")</f>
        <v/>
      </c>
      <c r="L45" s="258" t="str">
        <f ca="1">IF(ISNUMBER(_xll.BDP($C$5&amp;$C42&amp;$E45&amp;" "&amp;L42&amp;" "&amp;$C$7,$G45,"UpdFreq="&amp;$A$3)),_xll.BDP($C$5&amp;$C42&amp;$E45&amp;" "&amp;L42&amp;" "&amp;$C$7,$G45,"UpdFreq="&amp;$A$3),"")</f>
        <v/>
      </c>
      <c r="M45" s="258" t="str">
        <f ca="1">IF(ISNUMBER(_xll.BDP($C$5&amp;$C42&amp;$E45&amp;" "&amp;M42&amp;" "&amp;$C$7,$G45,"UpdFreq="&amp;$A$3)),_xll.BDP($C$5&amp;$C42&amp;$E45&amp;" "&amp;M42&amp;" "&amp;$C$7,$G45,"UpdFreq="&amp;$A$3),"")</f>
        <v/>
      </c>
      <c r="N45" s="258" t="str">
        <f ca="1">IF(ISNUMBER(_xll.BDP($C$5&amp;$C42&amp;$E45&amp;" "&amp;N42&amp;" "&amp;$C$7,$G45,"UpdFreq="&amp;$A$3)),_xll.BDP($C$5&amp;$C42&amp;$E45&amp;" "&amp;N42&amp;" "&amp;$C$7,$G45,"UpdFreq="&amp;$A$3),"")</f>
        <v/>
      </c>
      <c r="O45" s="258" t="str">
        <f ca="1">IF(ISNUMBER(_xll.BDP($C$5&amp;$C42&amp;$E45&amp;" "&amp;O42&amp;" "&amp;$C$7,$G45,"UpdFreq="&amp;$A$3)),_xll.BDP($C$5&amp;$C42&amp;$E45&amp;" "&amp;O42&amp;" "&amp;$C$7,$G45,"UpdFreq="&amp;$A$3),"")</f>
        <v/>
      </c>
      <c r="P45" s="258" t="str">
        <f ca="1">IF(ISNUMBER(_xll.BDP($C$5&amp;$C42&amp;$E45&amp;" "&amp;P42&amp;" "&amp;$C$7,$G45,"UpdFreq="&amp;$A$3)),_xll.BDP($C$5&amp;$C42&amp;$E45&amp;" "&amp;P42&amp;" "&amp;$C$7,$G45,"UpdFreq="&amp;$A$3),"")</f>
        <v/>
      </c>
      <c r="Q45" s="258" t="str">
        <f ca="1">IF(ISNUMBER(_xll.BDP($C$5&amp;$C42&amp;$E45&amp;" "&amp;Q42&amp;" "&amp;$C$7,$G45,"UpdFreq="&amp;$A$3)),_xll.BDP($C$5&amp;$C42&amp;$E45&amp;" "&amp;Q42&amp;" "&amp;$C$7,$G45,"UpdFreq="&amp;$A$3),"")</f>
        <v/>
      </c>
      <c r="R45" s="258" t="str">
        <f ca="1">IF(ISNUMBER(_xll.BDP($C$5&amp;$C42&amp;$E45&amp;" "&amp;R42&amp;" "&amp;$C$7,$G45,"UpdFreq="&amp;$A$3)),_xll.BDP($C$5&amp;$C42&amp;$E45&amp;" "&amp;R42&amp;" "&amp;$C$7,$G45,"UpdFreq="&amp;$A$3),"")</f>
        <v/>
      </c>
      <c r="S45" s="258" t="str">
        <f ca="1">IF(ISNUMBER(_xll.BDP($C$5&amp;$C42&amp;$E45&amp;" "&amp;S42&amp;" "&amp;$C$7,$G45,"UpdFreq="&amp;$A$3)),_xll.BDP($C$5&amp;$C42&amp;$E45&amp;" "&amp;S42&amp;" "&amp;$C$7,$G45,"UpdFreq="&amp;$A$3),"")</f>
        <v/>
      </c>
      <c r="T45" s="259" t="str">
        <f ca="1">IF(ISNUMBER(_xll.BDP($C$5&amp;$C42&amp;$E45&amp;" "&amp;T42&amp;" "&amp;$C$7,$G45,"UpdFreq="&amp;$A$3)),_xll.BDP($C$5&amp;$C42&amp;$E45&amp;" "&amp;T42&amp;" "&amp;$C$7,$G45,"UpdFreq="&amp;$A$3),"")</f>
        <v/>
      </c>
    </row>
    <row r="46" spans="2:20" ht="13.5" thickBot="1">
      <c r="B46" s="249" t="s">
        <v>187</v>
      </c>
      <c r="C46" s="250" t="e">
        <f ca="1">IF(ISNUMBER($N43),_xll.BDP($C$5&amp;$C42&amp;$E43&amp;" "&amp;N42&amp;" "&amp;$C$7,"OPT_EXPIRE_DT"),_xll.BDP($C$5&amp;$C42&amp;$E43&amp;" "&amp;M42&amp;" "&amp;$C$7,"OPT_EXPIRE_DT"))</f>
        <v>#NAME?</v>
      </c>
      <c r="F46" s="267"/>
      <c r="G46" s="268" t="s">
        <v>57</v>
      </c>
      <c r="H46" s="260" t="str">
        <f ca="1">IF(ISNUMBER(_xll.BDP($C$5&amp;$C42&amp;$E45&amp;" "&amp;H42&amp;" "&amp;$C$7,$G46,"UpdFreq="&amp;$A$3)),_xll.BDP($C$5&amp;$C42&amp;$E45&amp;" "&amp;H42&amp;" "&amp;$C$7,$G46,"UpdFreq="&amp;$A$3),"")</f>
        <v/>
      </c>
      <c r="I46" s="261" t="str">
        <f ca="1">IF(ISNUMBER(_xll.BDP($C$5&amp;$C42&amp;$E45&amp;" "&amp;I42&amp;" "&amp;$C$7,$G46,"UpdFreq="&amp;$A$3)),_xll.BDP($C$5&amp;$C42&amp;$E45&amp;" "&amp;I42&amp;" "&amp;$C$7,$G46,"UpdFreq="&amp;$A$3),"")</f>
        <v/>
      </c>
      <c r="J46" s="261" t="str">
        <f ca="1">IF(ISNUMBER(_xll.BDP($C$5&amp;$C42&amp;$E45&amp;" "&amp;J42&amp;" "&amp;$C$7,$G46,"UpdFreq="&amp;$A$3)),_xll.BDP($C$5&amp;$C42&amp;$E45&amp;" "&amp;J42&amp;" "&amp;$C$7,$G46,"UpdFreq="&amp;$A$3),"")</f>
        <v/>
      </c>
      <c r="K46" s="261" t="str">
        <f ca="1">IF(ISNUMBER(_xll.BDP($C$5&amp;$C42&amp;$E45&amp;" "&amp;K42&amp;" "&amp;$C$7,$G46,"UpdFreq="&amp;$A$3)),_xll.BDP($C$5&amp;$C42&amp;$E45&amp;" "&amp;K42&amp;" "&amp;$C$7,$G46,"UpdFreq="&amp;$A$3),"")</f>
        <v/>
      </c>
      <c r="L46" s="261" t="str">
        <f ca="1">IF(ISNUMBER(_xll.BDP($C$5&amp;$C42&amp;$E45&amp;" "&amp;L42&amp;" "&amp;$C$7,$G46,"UpdFreq="&amp;$A$3)),_xll.BDP($C$5&amp;$C42&amp;$E45&amp;" "&amp;L42&amp;" "&amp;$C$7,$G46,"UpdFreq="&amp;$A$3),"")</f>
        <v/>
      </c>
      <c r="M46" s="261" t="str">
        <f ca="1">IF(ISNUMBER(_xll.BDP($C$5&amp;$C42&amp;$E45&amp;" "&amp;M42&amp;" "&amp;$C$7,$G46,"UpdFreq="&amp;$A$3)),_xll.BDP($C$5&amp;$C42&amp;$E45&amp;" "&amp;M42&amp;" "&amp;$C$7,$G46,"UpdFreq="&amp;$A$3),"")</f>
        <v/>
      </c>
      <c r="N46" s="261" t="str">
        <f ca="1">IF(ISNUMBER(_xll.BDP($C$5&amp;$C42&amp;$E45&amp;" "&amp;N42&amp;" "&amp;$C$7,$G46,"UpdFreq="&amp;$A$3)),_xll.BDP($C$5&amp;$C42&amp;$E45&amp;" "&amp;N42&amp;" "&amp;$C$7,$G46,"UpdFreq="&amp;$A$3),"")</f>
        <v/>
      </c>
      <c r="O46" s="261" t="str">
        <f ca="1">IF(ISNUMBER(_xll.BDP($C$5&amp;$C42&amp;$E45&amp;" "&amp;O42&amp;" "&amp;$C$7,$G46,"UpdFreq="&amp;$A$3)),_xll.BDP($C$5&amp;$C42&amp;$E45&amp;" "&amp;O42&amp;" "&amp;$C$7,$G46,"UpdFreq="&amp;$A$3),"")</f>
        <v/>
      </c>
      <c r="P46" s="261" t="str">
        <f ca="1">IF(ISNUMBER(_xll.BDP($C$5&amp;$C42&amp;$E45&amp;" "&amp;P42&amp;" "&amp;$C$7,$G46,"UpdFreq="&amp;$A$3)),_xll.BDP($C$5&amp;$C42&amp;$E45&amp;" "&amp;P42&amp;" "&amp;$C$7,$G46,"UpdFreq="&amp;$A$3),"")</f>
        <v/>
      </c>
      <c r="Q46" s="261" t="str">
        <f ca="1">IF(ISNUMBER(_xll.BDP($C$5&amp;$C42&amp;$E45&amp;" "&amp;Q42&amp;" "&amp;$C$7,$G46,"UpdFreq="&amp;$A$3)),_xll.BDP($C$5&amp;$C42&amp;$E45&amp;" "&amp;Q42&amp;" "&amp;$C$7,$G46,"UpdFreq="&amp;$A$3),"")</f>
        <v/>
      </c>
      <c r="R46" s="261" t="str">
        <f ca="1">IF(ISNUMBER(_xll.BDP($C$5&amp;$C42&amp;$E45&amp;" "&amp;R42&amp;" "&amp;$C$7,$G46,"UpdFreq="&amp;$A$3)),_xll.BDP($C$5&amp;$C42&amp;$E45&amp;" "&amp;R42&amp;" "&amp;$C$7,$G46,"UpdFreq="&amp;$A$3),"")</f>
        <v/>
      </c>
      <c r="S46" s="261" t="str">
        <f ca="1">IF(ISNUMBER(_xll.BDP($C$5&amp;$C42&amp;$E45&amp;" "&amp;S42&amp;" "&amp;$C$7,$G46,"UpdFreq="&amp;$A$3)),_xll.BDP($C$5&amp;$C42&amp;$E45&amp;" "&amp;S42&amp;" "&amp;$C$7,$G46,"UpdFreq="&amp;$A$3),"")</f>
        <v/>
      </c>
      <c r="T46" s="262" t="str">
        <f ca="1">IF(ISNUMBER(_xll.BDP($C$5&amp;$C42&amp;$E45&amp;" "&amp;T42&amp;" "&amp;$C$7,$G46,"UpdFreq="&amp;$A$3)),_xll.BDP($C$5&amp;$C42&amp;$E45&amp;" "&amp;T42&amp;" "&amp;$C$7,$G46,"UpdFreq="&amp;$A$3),"")</f>
        <v/>
      </c>
    </row>
    <row r="47" spans="2:20" ht="13.5" thickBot="1">
      <c r="G47" s="121"/>
      <c r="H47" s="121"/>
      <c r="K47" s="121"/>
    </row>
    <row r="48" spans="2:20" ht="13.5" thickBot="1">
      <c r="B48" s="241" t="s">
        <v>181</v>
      </c>
      <c r="C48" s="242" t="s">
        <v>194</v>
      </c>
      <c r="G48" s="121"/>
      <c r="H48" s="251" t="e">
        <f t="shared" ref="H48:M48" ca="1" si="12">I48-$C$6</f>
        <v>#NAME?</v>
      </c>
      <c r="I48" s="252" t="e">
        <f t="shared" ca="1" si="12"/>
        <v>#NAME?</v>
      </c>
      <c r="J48" s="252" t="e">
        <f t="shared" ca="1" si="12"/>
        <v>#NAME?</v>
      </c>
      <c r="K48" s="252" t="e">
        <f t="shared" ca="1" si="12"/>
        <v>#NAME?</v>
      </c>
      <c r="L48" s="252" t="e">
        <f t="shared" ca="1" si="12"/>
        <v>#NAME?</v>
      </c>
      <c r="M48" s="252" t="e">
        <f t="shared" ca="1" si="12"/>
        <v>#NAME?</v>
      </c>
      <c r="N48" s="253" t="e">
        <f ca="1">ROUND($C49/($C$6),0)*$C$6</f>
        <v>#NAME?</v>
      </c>
      <c r="O48" s="252" t="e">
        <f t="shared" ref="O48:T48" ca="1" si="13">N48+$C$6</f>
        <v>#NAME?</v>
      </c>
      <c r="P48" s="252" t="e">
        <f t="shared" ca="1" si="13"/>
        <v>#NAME?</v>
      </c>
      <c r="Q48" s="252" t="e">
        <f t="shared" ca="1" si="13"/>
        <v>#NAME?</v>
      </c>
      <c r="R48" s="252" t="e">
        <f t="shared" ca="1" si="13"/>
        <v>#NAME?</v>
      </c>
      <c r="S48" s="252" t="e">
        <f t="shared" ca="1" si="13"/>
        <v>#NAME?</v>
      </c>
      <c r="T48" s="252" t="e">
        <f t="shared" ca="1" si="13"/>
        <v>#NAME?</v>
      </c>
    </row>
    <row r="49" spans="2:20">
      <c r="B49" s="243" t="s">
        <v>182</v>
      </c>
      <c r="C49" s="244" t="e">
        <f ca="1">AVERAGE(C50:C51)</f>
        <v>#NAME?</v>
      </c>
      <c r="E49" s="121" t="s">
        <v>183</v>
      </c>
      <c r="F49" s="263" t="s">
        <v>184</v>
      </c>
      <c r="G49" s="264" t="s">
        <v>56</v>
      </c>
      <c r="H49" s="254" t="str">
        <f ca="1">IF(ISNUMBER(_xll.BDP($C$5&amp;$C48&amp;$E49&amp;" "&amp;H48&amp;" "&amp;$C$7,$G49,"UpdFreq="&amp;$A$3)),_xll.BDP($C$5&amp;$C48&amp;$E49&amp;" "&amp;H48&amp;" "&amp;$C$7,$G49,"UpdFreq="&amp;$A$3),"")</f>
        <v/>
      </c>
      <c r="I49" s="255" t="str">
        <f ca="1">IF(ISNUMBER(_xll.BDP($C$5&amp;$C48&amp;$E49&amp;" "&amp;I48&amp;" "&amp;$C$7,$G49,"UpdFreq="&amp;$A$3)),_xll.BDP($C$5&amp;$C48&amp;$E49&amp;" "&amp;I48&amp;" "&amp;$C$7,$G49,"UpdFreq="&amp;$A$3),"")</f>
        <v/>
      </c>
      <c r="J49" s="255" t="str">
        <f ca="1">IF(ISNUMBER(_xll.BDP($C$5&amp;$C48&amp;$E49&amp;" "&amp;J48&amp;" "&amp;$C$7,$G49,"UpdFreq="&amp;$A$3)),_xll.BDP($C$5&amp;$C48&amp;$E49&amp;" "&amp;J48&amp;" "&amp;$C$7,$G49,"UpdFreq="&amp;$A$3),"")</f>
        <v/>
      </c>
      <c r="K49" s="255" t="str">
        <f ca="1">IF(ISNUMBER(_xll.BDP($C$5&amp;$C48&amp;$E49&amp;" "&amp;K48&amp;" "&amp;$C$7,$G49,"UpdFreq="&amp;$A$3)),_xll.BDP($C$5&amp;$C48&amp;$E49&amp;" "&amp;K48&amp;" "&amp;$C$7,$G49,"UpdFreq="&amp;$A$3),"")</f>
        <v/>
      </c>
      <c r="L49" s="255" t="str">
        <f ca="1">IF(ISNUMBER(_xll.BDP($C$5&amp;$C48&amp;$E49&amp;" "&amp;L48&amp;" "&amp;$C$7,$G49,"UpdFreq="&amp;$A$3)),_xll.BDP($C$5&amp;$C48&amp;$E49&amp;" "&amp;L48&amp;" "&amp;$C$7,$G49,"UpdFreq="&amp;$A$3),"")</f>
        <v/>
      </c>
      <c r="M49" s="255" t="str">
        <f ca="1">IF(ISNUMBER(_xll.BDP($C$5&amp;$C48&amp;$E49&amp;" "&amp;M48&amp;" "&amp;$C$7,$G49,"UpdFreq="&amp;$A$3)),_xll.BDP($C$5&amp;$C48&amp;$E49&amp;" "&amp;M48&amp;" "&amp;$C$7,$G49,"UpdFreq="&amp;$A$3),"")</f>
        <v/>
      </c>
      <c r="N49" s="255" t="str">
        <f ca="1">IF(ISNUMBER(_xll.BDP($C$5&amp;$C48&amp;$E49&amp;" "&amp;N48&amp;" "&amp;$C$7,$G49,"UpdFreq="&amp;$A$3)),_xll.BDP($C$5&amp;$C48&amp;$E49&amp;" "&amp;N48&amp;" "&amp;$C$7,$G49,"UpdFreq="&amp;$A$3),"")</f>
        <v/>
      </c>
      <c r="O49" s="255" t="str">
        <f ca="1">IF(ISNUMBER(_xll.BDP($C$5&amp;$C48&amp;$E49&amp;" "&amp;O48&amp;" "&amp;$C$7,$G49,"UpdFreq="&amp;$A$3)),_xll.BDP($C$5&amp;$C48&amp;$E49&amp;" "&amp;O48&amp;" "&amp;$C$7,$G49,"UpdFreq="&amp;$A$3),"")</f>
        <v/>
      </c>
      <c r="P49" s="255" t="str">
        <f ca="1">IF(ISNUMBER(_xll.BDP($C$5&amp;$C48&amp;$E49&amp;" "&amp;P48&amp;" "&amp;$C$7,$G49,"UpdFreq="&amp;$A$3)),_xll.BDP($C$5&amp;$C48&amp;$E49&amp;" "&amp;P48&amp;" "&amp;$C$7,$G49,"UpdFreq="&amp;$A$3),"")</f>
        <v/>
      </c>
      <c r="Q49" s="255" t="str">
        <f ca="1">IF(ISNUMBER(_xll.BDP($C$5&amp;$C48&amp;$E49&amp;" "&amp;Q48&amp;" "&amp;$C$7,$G49,"UpdFreq="&amp;$A$3)),_xll.BDP($C$5&amp;$C48&amp;$E49&amp;" "&amp;Q48&amp;" "&amp;$C$7,$G49,"UpdFreq="&amp;$A$3),"")</f>
        <v/>
      </c>
      <c r="R49" s="255" t="str">
        <f ca="1">IF(ISNUMBER(_xll.BDP($C$5&amp;$C48&amp;$E49&amp;" "&amp;R48&amp;" "&amp;$C$7,$G49,"UpdFreq="&amp;$A$3)),_xll.BDP($C$5&amp;$C48&amp;$E49&amp;" "&amp;R48&amp;" "&amp;$C$7,$G49,"UpdFreq="&amp;$A$3),"")</f>
        <v/>
      </c>
      <c r="S49" s="255" t="str">
        <f ca="1">IF(ISNUMBER(_xll.BDP($C$5&amp;$C48&amp;$E49&amp;" "&amp;S48&amp;" "&amp;$C$7,$G49,"UpdFreq="&amp;$A$3)),_xll.BDP($C$5&amp;$C48&amp;$E49&amp;" "&amp;S48&amp;" "&amp;$C$7,$G49,"UpdFreq="&amp;$A$3),"")</f>
        <v/>
      </c>
      <c r="T49" s="256" t="str">
        <f ca="1">IF(ISNUMBER(_xll.BDP($C$5&amp;$C48&amp;$E49&amp;" "&amp;T48&amp;" "&amp;$C$7,$G49,"UpdFreq="&amp;$A$3)),_xll.BDP($C$5&amp;$C48&amp;$E49&amp;" "&amp;T48&amp;" "&amp;$C$7,$G49,"UpdFreq="&amp;$A$3),"")</f>
        <v/>
      </c>
    </row>
    <row r="50" spans="2:20">
      <c r="B50" s="245" t="s">
        <v>57</v>
      </c>
      <c r="C50" s="246" t="e">
        <f ca="1">_xll.BDP($C$5&amp;C48&amp;" "&amp;$C$7, G51)</f>
        <v>#NAME?</v>
      </c>
      <c r="F50" s="265"/>
      <c r="G50" s="266" t="s">
        <v>57</v>
      </c>
      <c r="H50" s="257" t="str">
        <f ca="1">IF(ISNUMBER(_xll.BDP($C$5&amp;$C48&amp;$E49&amp;" "&amp;H48&amp;" "&amp;$C$7,$G50,"UpdFreq="&amp;$A$3)),_xll.BDP($C$5&amp;$C48&amp;$E49&amp;" "&amp;H48&amp;" "&amp;$C$7,$G50,"UpdFreq="&amp;$A$3),"")</f>
        <v/>
      </c>
      <c r="I50" s="258" t="str">
        <f ca="1">IF(ISNUMBER(_xll.BDP($C$5&amp;$C48&amp;$E49&amp;" "&amp;I48&amp;" "&amp;$C$7,$G50,"UpdFreq="&amp;$A$3)),_xll.BDP($C$5&amp;$C48&amp;$E49&amp;" "&amp;I48&amp;" "&amp;$C$7,$G50,"UpdFreq="&amp;$A$3),"")</f>
        <v/>
      </c>
      <c r="J50" s="258" t="str">
        <f ca="1">IF(ISNUMBER(_xll.BDP($C$5&amp;$C48&amp;$E49&amp;" "&amp;J48&amp;" "&amp;$C$7,$G50,"UpdFreq="&amp;$A$3)),_xll.BDP($C$5&amp;$C48&amp;$E49&amp;" "&amp;J48&amp;" "&amp;$C$7,$G50,"UpdFreq="&amp;$A$3),"")</f>
        <v/>
      </c>
      <c r="K50" s="258" t="str">
        <f ca="1">IF(ISNUMBER(_xll.BDP($C$5&amp;$C48&amp;$E49&amp;" "&amp;K48&amp;" "&amp;$C$7,$G50,"UpdFreq="&amp;$A$3)),_xll.BDP($C$5&amp;$C48&amp;$E49&amp;" "&amp;K48&amp;" "&amp;$C$7,$G50,"UpdFreq="&amp;$A$3),"")</f>
        <v/>
      </c>
      <c r="L50" s="258" t="str">
        <f ca="1">IF(ISNUMBER(_xll.BDP($C$5&amp;$C48&amp;$E49&amp;" "&amp;L48&amp;" "&amp;$C$7,$G50,"UpdFreq="&amp;$A$3)),_xll.BDP($C$5&amp;$C48&amp;$E49&amp;" "&amp;L48&amp;" "&amp;$C$7,$G50,"UpdFreq="&amp;$A$3),"")</f>
        <v/>
      </c>
      <c r="M50" s="258" t="str">
        <f ca="1">IF(ISNUMBER(_xll.BDP($C$5&amp;$C48&amp;$E49&amp;" "&amp;M48&amp;" "&amp;$C$7,$G50,"UpdFreq="&amp;$A$3)),_xll.BDP($C$5&amp;$C48&amp;$E49&amp;" "&amp;M48&amp;" "&amp;$C$7,$G50,"UpdFreq="&amp;$A$3),"")</f>
        <v/>
      </c>
      <c r="N50" s="258" t="str">
        <f ca="1">IF(ISNUMBER(_xll.BDP($C$5&amp;$C48&amp;$E49&amp;" "&amp;N48&amp;" "&amp;$C$7,$G50,"UpdFreq="&amp;$A$3)),_xll.BDP($C$5&amp;$C48&amp;$E49&amp;" "&amp;N48&amp;" "&amp;$C$7,$G50,"UpdFreq="&amp;$A$3),"")</f>
        <v/>
      </c>
      <c r="O50" s="258" t="str">
        <f ca="1">IF(ISNUMBER(_xll.BDP($C$5&amp;$C48&amp;$E49&amp;" "&amp;O48&amp;" "&amp;$C$7,$G50,"UpdFreq="&amp;$A$3)),_xll.BDP($C$5&amp;$C48&amp;$E49&amp;" "&amp;O48&amp;" "&amp;$C$7,$G50,"UpdFreq="&amp;$A$3),"")</f>
        <v/>
      </c>
      <c r="P50" s="258" t="str">
        <f ca="1">IF(ISNUMBER(_xll.BDP($C$5&amp;$C48&amp;$E49&amp;" "&amp;P48&amp;" "&amp;$C$7,$G50,"UpdFreq="&amp;$A$3)),_xll.BDP($C$5&amp;$C48&amp;$E49&amp;" "&amp;P48&amp;" "&amp;$C$7,$G50,"UpdFreq="&amp;$A$3),"")</f>
        <v/>
      </c>
      <c r="Q50" s="258" t="str">
        <f ca="1">IF(ISNUMBER(_xll.BDP($C$5&amp;$C48&amp;$E49&amp;" "&amp;Q48&amp;" "&amp;$C$7,$G50,"UpdFreq="&amp;$A$3)),_xll.BDP($C$5&amp;$C48&amp;$E49&amp;" "&amp;Q48&amp;" "&amp;$C$7,$G50,"UpdFreq="&amp;$A$3),"")</f>
        <v/>
      </c>
      <c r="R50" s="258" t="str">
        <f ca="1">IF(ISNUMBER(_xll.BDP($C$5&amp;$C48&amp;$E49&amp;" "&amp;R48&amp;" "&amp;$C$7,$G50,"UpdFreq="&amp;$A$3)),_xll.BDP($C$5&amp;$C48&amp;$E49&amp;" "&amp;R48&amp;" "&amp;$C$7,$G50,"UpdFreq="&amp;$A$3),"")</f>
        <v/>
      </c>
      <c r="S50" s="258" t="str">
        <f ca="1">IF(ISNUMBER(_xll.BDP($C$5&amp;$C48&amp;$E49&amp;" "&amp;S48&amp;" "&amp;$C$7,$G50,"UpdFreq="&amp;$A$3)),_xll.BDP($C$5&amp;$C48&amp;$E49&amp;" "&amp;S48&amp;" "&amp;$C$7,$G50,"UpdFreq="&amp;$A$3),"")</f>
        <v/>
      </c>
      <c r="T50" s="259" t="str">
        <f ca="1">IF(ISNUMBER(_xll.BDP($C$5&amp;$C48&amp;$E49&amp;" "&amp;T48&amp;" "&amp;$C$7,$G50,"UpdFreq="&amp;$A$3)),_xll.BDP($C$5&amp;$C48&amp;$E49&amp;" "&amp;T48&amp;" "&amp;$C$7,$G50,"UpdFreq="&amp;$A$3),"")</f>
        <v/>
      </c>
    </row>
    <row r="51" spans="2:20">
      <c r="B51" s="247" t="s">
        <v>56</v>
      </c>
      <c r="C51" s="248" t="e">
        <f ca="1">_xll.BDP($C$5&amp;C48&amp;" "&amp;$C$7, G52)</f>
        <v>#NAME?</v>
      </c>
      <c r="E51" s="121" t="s">
        <v>185</v>
      </c>
      <c r="F51" s="265" t="s">
        <v>186</v>
      </c>
      <c r="G51" s="266" t="s">
        <v>56</v>
      </c>
      <c r="H51" s="257" t="str">
        <f ca="1">IF(ISNUMBER(_xll.BDP($C$5&amp;$C48&amp;$E51&amp;" "&amp;H48&amp;" "&amp;$C$7,$G51,"UpdFreq="&amp;$A$3)),_xll.BDP($C$5&amp;$C48&amp;$E51&amp;" "&amp;H48&amp;" "&amp;$C$7,$G51,"UpdFreq="&amp;$A$3),"")</f>
        <v/>
      </c>
      <c r="I51" s="258" t="str">
        <f ca="1">IF(ISNUMBER(_xll.BDP($C$5&amp;$C48&amp;$E51&amp;" "&amp;I48&amp;" "&amp;$C$7,$G51,"UpdFreq="&amp;$A$3)),_xll.BDP($C$5&amp;$C48&amp;$E51&amp;" "&amp;I48&amp;" "&amp;$C$7,$G51,"UpdFreq="&amp;$A$3),"")</f>
        <v/>
      </c>
      <c r="J51" s="258" t="str">
        <f ca="1">IF(ISNUMBER(_xll.BDP($C$5&amp;$C48&amp;$E51&amp;" "&amp;J48&amp;" "&amp;$C$7,$G51,"UpdFreq="&amp;$A$3)),_xll.BDP($C$5&amp;$C48&amp;$E51&amp;" "&amp;J48&amp;" "&amp;$C$7,$G51,"UpdFreq="&amp;$A$3),"")</f>
        <v/>
      </c>
      <c r="K51" s="258" t="str">
        <f ca="1">IF(ISNUMBER(_xll.BDP($C$5&amp;$C48&amp;$E51&amp;" "&amp;K48&amp;" "&amp;$C$7,$G51,"UpdFreq="&amp;$A$3)),_xll.BDP($C$5&amp;$C48&amp;$E51&amp;" "&amp;K48&amp;" "&amp;$C$7,$G51,"UpdFreq="&amp;$A$3),"")</f>
        <v/>
      </c>
      <c r="L51" s="258" t="str">
        <f ca="1">IF(ISNUMBER(_xll.BDP($C$5&amp;$C48&amp;$E51&amp;" "&amp;L48&amp;" "&amp;$C$7,$G51,"UpdFreq="&amp;$A$3)),_xll.BDP($C$5&amp;$C48&amp;$E51&amp;" "&amp;L48&amp;" "&amp;$C$7,$G51,"UpdFreq="&amp;$A$3),"")</f>
        <v/>
      </c>
      <c r="M51" s="258" t="str">
        <f ca="1">IF(ISNUMBER(_xll.BDP($C$5&amp;$C48&amp;$E51&amp;" "&amp;M48&amp;" "&amp;$C$7,$G51,"UpdFreq="&amp;$A$3)),_xll.BDP($C$5&amp;$C48&amp;$E51&amp;" "&amp;M48&amp;" "&amp;$C$7,$G51,"UpdFreq="&amp;$A$3),"")</f>
        <v/>
      </c>
      <c r="N51" s="258" t="str">
        <f ca="1">IF(ISNUMBER(_xll.BDP($C$5&amp;$C48&amp;$E51&amp;" "&amp;N48&amp;" "&amp;$C$7,$G51,"UpdFreq="&amp;$A$3)),_xll.BDP($C$5&amp;$C48&amp;$E51&amp;" "&amp;N48&amp;" "&amp;$C$7,$G51,"UpdFreq="&amp;$A$3),"")</f>
        <v/>
      </c>
      <c r="O51" s="258" t="str">
        <f ca="1">IF(ISNUMBER(_xll.BDP($C$5&amp;$C48&amp;$E51&amp;" "&amp;O48&amp;" "&amp;$C$7,$G51,"UpdFreq="&amp;$A$3)),_xll.BDP($C$5&amp;$C48&amp;$E51&amp;" "&amp;O48&amp;" "&amp;$C$7,$G51,"UpdFreq="&amp;$A$3),"")</f>
        <v/>
      </c>
      <c r="P51" s="258" t="str">
        <f ca="1">IF(ISNUMBER(_xll.BDP($C$5&amp;$C48&amp;$E51&amp;" "&amp;P48&amp;" "&amp;$C$7,$G51,"UpdFreq="&amp;$A$3)),_xll.BDP($C$5&amp;$C48&amp;$E51&amp;" "&amp;P48&amp;" "&amp;$C$7,$G51,"UpdFreq="&amp;$A$3),"")</f>
        <v/>
      </c>
      <c r="Q51" s="258" t="str">
        <f ca="1">IF(ISNUMBER(_xll.BDP($C$5&amp;$C48&amp;$E51&amp;" "&amp;Q48&amp;" "&amp;$C$7,$G51,"UpdFreq="&amp;$A$3)),_xll.BDP($C$5&amp;$C48&amp;$E51&amp;" "&amp;Q48&amp;" "&amp;$C$7,$G51,"UpdFreq="&amp;$A$3),"")</f>
        <v/>
      </c>
      <c r="R51" s="258" t="str">
        <f ca="1">IF(ISNUMBER(_xll.BDP($C$5&amp;$C48&amp;$E51&amp;" "&amp;R48&amp;" "&amp;$C$7,$G51,"UpdFreq="&amp;$A$3)),_xll.BDP($C$5&amp;$C48&amp;$E51&amp;" "&amp;R48&amp;" "&amp;$C$7,$G51,"UpdFreq="&amp;$A$3),"")</f>
        <v/>
      </c>
      <c r="S51" s="258" t="str">
        <f ca="1">IF(ISNUMBER(_xll.BDP($C$5&amp;$C48&amp;$E51&amp;" "&amp;S48&amp;" "&amp;$C$7,$G51,"UpdFreq="&amp;$A$3)),_xll.BDP($C$5&amp;$C48&amp;$E51&amp;" "&amp;S48&amp;" "&amp;$C$7,$G51,"UpdFreq="&amp;$A$3),"")</f>
        <v/>
      </c>
      <c r="T51" s="259" t="str">
        <f ca="1">IF(ISNUMBER(_xll.BDP($C$5&amp;$C48&amp;$E51&amp;" "&amp;T48&amp;" "&amp;$C$7,$G51,"UpdFreq="&amp;$A$3)),_xll.BDP($C$5&amp;$C48&amp;$E51&amp;" "&amp;T48&amp;" "&amp;$C$7,$G51,"UpdFreq="&amp;$A$3),"")</f>
        <v/>
      </c>
    </row>
    <row r="52" spans="2:20" ht="13.5" thickBot="1">
      <c r="B52" s="249" t="s">
        <v>187</v>
      </c>
      <c r="C52" s="250" t="e">
        <f ca="1">IF(ISNUMBER($N49),_xll.BDP($C$5&amp;$C48&amp;$E49&amp;" "&amp;N48&amp;" "&amp;$C$7,"OPT_EXPIRE_DT"),_xll.BDP($C$5&amp;$C48&amp;$E49&amp;" "&amp;M48&amp;" "&amp;$C$7,"OPT_EXPIRE_DT"))</f>
        <v>#NAME?</v>
      </c>
      <c r="F52" s="267"/>
      <c r="G52" s="268" t="s">
        <v>57</v>
      </c>
      <c r="H52" s="260" t="str">
        <f ca="1">IF(ISNUMBER(_xll.BDP($C$5&amp;$C48&amp;$E51&amp;" "&amp;H48&amp;" "&amp;$C$7,$G52,"UpdFreq="&amp;$A$3)),_xll.BDP($C$5&amp;$C48&amp;$E51&amp;" "&amp;H48&amp;" "&amp;$C$7,$G52,"UpdFreq="&amp;$A$3),"")</f>
        <v/>
      </c>
      <c r="I52" s="261" t="str">
        <f ca="1">IF(ISNUMBER(_xll.BDP($C$5&amp;$C48&amp;$E51&amp;" "&amp;I48&amp;" "&amp;$C$7,$G52,"UpdFreq="&amp;$A$3)),_xll.BDP($C$5&amp;$C48&amp;$E51&amp;" "&amp;I48&amp;" "&amp;$C$7,$G52,"UpdFreq="&amp;$A$3),"")</f>
        <v/>
      </c>
      <c r="J52" s="261" t="str">
        <f ca="1">IF(ISNUMBER(_xll.BDP($C$5&amp;$C48&amp;$E51&amp;" "&amp;J48&amp;" "&amp;$C$7,$G52,"UpdFreq="&amp;$A$3)),_xll.BDP($C$5&amp;$C48&amp;$E51&amp;" "&amp;J48&amp;" "&amp;$C$7,$G52,"UpdFreq="&amp;$A$3),"")</f>
        <v/>
      </c>
      <c r="K52" s="261" t="str">
        <f ca="1">IF(ISNUMBER(_xll.BDP($C$5&amp;$C48&amp;$E51&amp;" "&amp;K48&amp;" "&amp;$C$7,$G52,"UpdFreq="&amp;$A$3)),_xll.BDP($C$5&amp;$C48&amp;$E51&amp;" "&amp;K48&amp;" "&amp;$C$7,$G52,"UpdFreq="&amp;$A$3),"")</f>
        <v/>
      </c>
      <c r="L52" s="261" t="str">
        <f ca="1">IF(ISNUMBER(_xll.BDP($C$5&amp;$C48&amp;$E51&amp;" "&amp;L48&amp;" "&amp;$C$7,$G52,"UpdFreq="&amp;$A$3)),_xll.BDP($C$5&amp;$C48&amp;$E51&amp;" "&amp;L48&amp;" "&amp;$C$7,$G52,"UpdFreq="&amp;$A$3),"")</f>
        <v/>
      </c>
      <c r="M52" s="261" t="str">
        <f ca="1">IF(ISNUMBER(_xll.BDP($C$5&amp;$C48&amp;$E51&amp;" "&amp;M48&amp;" "&amp;$C$7,$G52,"UpdFreq="&amp;$A$3)),_xll.BDP($C$5&amp;$C48&amp;$E51&amp;" "&amp;M48&amp;" "&amp;$C$7,$G52,"UpdFreq="&amp;$A$3),"")</f>
        <v/>
      </c>
      <c r="N52" s="261" t="str">
        <f ca="1">IF(ISNUMBER(_xll.BDP($C$5&amp;$C48&amp;$E51&amp;" "&amp;N48&amp;" "&amp;$C$7,$G52,"UpdFreq="&amp;$A$3)),_xll.BDP($C$5&amp;$C48&amp;$E51&amp;" "&amp;N48&amp;" "&amp;$C$7,$G52,"UpdFreq="&amp;$A$3),"")</f>
        <v/>
      </c>
      <c r="O52" s="261" t="str">
        <f ca="1">IF(ISNUMBER(_xll.BDP($C$5&amp;$C48&amp;$E51&amp;" "&amp;O48&amp;" "&amp;$C$7,$G52,"UpdFreq="&amp;$A$3)),_xll.BDP($C$5&amp;$C48&amp;$E51&amp;" "&amp;O48&amp;" "&amp;$C$7,$G52,"UpdFreq="&amp;$A$3),"")</f>
        <v/>
      </c>
      <c r="P52" s="261" t="str">
        <f ca="1">IF(ISNUMBER(_xll.BDP($C$5&amp;$C48&amp;$E51&amp;" "&amp;P48&amp;" "&amp;$C$7,$G52,"UpdFreq="&amp;$A$3)),_xll.BDP($C$5&amp;$C48&amp;$E51&amp;" "&amp;P48&amp;" "&amp;$C$7,$G52,"UpdFreq="&amp;$A$3),"")</f>
        <v/>
      </c>
      <c r="Q52" s="261" t="str">
        <f ca="1">IF(ISNUMBER(_xll.BDP($C$5&amp;$C48&amp;$E51&amp;" "&amp;Q48&amp;" "&amp;$C$7,$G52,"UpdFreq="&amp;$A$3)),_xll.BDP($C$5&amp;$C48&amp;$E51&amp;" "&amp;Q48&amp;" "&amp;$C$7,$G52,"UpdFreq="&amp;$A$3),"")</f>
        <v/>
      </c>
      <c r="R52" s="261" t="str">
        <f ca="1">IF(ISNUMBER(_xll.BDP($C$5&amp;$C48&amp;$E51&amp;" "&amp;R48&amp;" "&amp;$C$7,$G52,"UpdFreq="&amp;$A$3)),_xll.BDP($C$5&amp;$C48&amp;$E51&amp;" "&amp;R48&amp;" "&amp;$C$7,$G52,"UpdFreq="&amp;$A$3),"")</f>
        <v/>
      </c>
      <c r="S52" s="261" t="str">
        <f ca="1">IF(ISNUMBER(_xll.BDP($C$5&amp;$C48&amp;$E51&amp;" "&amp;S48&amp;" "&amp;$C$7,$G52,"UpdFreq="&amp;$A$3)),_xll.BDP($C$5&amp;$C48&amp;$E51&amp;" "&amp;S48&amp;" "&amp;$C$7,$G52,"UpdFreq="&amp;$A$3),"")</f>
        <v/>
      </c>
      <c r="T52" s="262" t="str">
        <f ca="1">IF(ISNUMBER(_xll.BDP($C$5&amp;$C48&amp;$E51&amp;" "&amp;T48&amp;" "&amp;$C$7,$G52,"UpdFreq="&amp;$A$3)),_xll.BDP($C$5&amp;$C48&amp;$E51&amp;" "&amp;T48&amp;" "&amp;$C$7,$G52,"UpdFreq="&amp;$A$3),"")</f>
        <v/>
      </c>
    </row>
    <row r="53" spans="2:20" ht="13.5" thickBot="1">
      <c r="G53" s="121"/>
      <c r="H53" s="121"/>
      <c r="K53" s="121"/>
    </row>
    <row r="54" spans="2:20" ht="13.5" thickBot="1">
      <c r="B54" s="241" t="s">
        <v>181</v>
      </c>
      <c r="C54" s="242" t="s">
        <v>205</v>
      </c>
      <c r="G54" s="121"/>
      <c r="H54" s="251" t="e">
        <f t="shared" ref="H54:M54" ca="1" si="14">I54-$C$6</f>
        <v>#NAME?</v>
      </c>
      <c r="I54" s="252" t="e">
        <f t="shared" ca="1" si="14"/>
        <v>#NAME?</v>
      </c>
      <c r="J54" s="252" t="e">
        <f t="shared" ca="1" si="14"/>
        <v>#NAME?</v>
      </c>
      <c r="K54" s="252" t="e">
        <f t="shared" ca="1" si="14"/>
        <v>#NAME?</v>
      </c>
      <c r="L54" s="252" t="e">
        <f t="shared" ca="1" si="14"/>
        <v>#NAME?</v>
      </c>
      <c r="M54" s="252" t="e">
        <f t="shared" ca="1" si="14"/>
        <v>#NAME?</v>
      </c>
      <c r="N54" s="253" t="e">
        <f ca="1">ROUND($C55/($C$6),0)*$C$6</f>
        <v>#NAME?</v>
      </c>
      <c r="O54" s="252" t="e">
        <f t="shared" ref="O54:T54" ca="1" si="15">N54+$C$6</f>
        <v>#NAME?</v>
      </c>
      <c r="P54" s="252" t="e">
        <f t="shared" ca="1" si="15"/>
        <v>#NAME?</v>
      </c>
      <c r="Q54" s="252" t="e">
        <f t="shared" ca="1" si="15"/>
        <v>#NAME?</v>
      </c>
      <c r="R54" s="252" t="e">
        <f t="shared" ca="1" si="15"/>
        <v>#NAME?</v>
      </c>
      <c r="S54" s="252" t="e">
        <f t="shared" ca="1" si="15"/>
        <v>#NAME?</v>
      </c>
      <c r="T54" s="252" t="e">
        <f t="shared" ca="1" si="15"/>
        <v>#NAME?</v>
      </c>
    </row>
    <row r="55" spans="2:20">
      <c r="B55" s="243" t="s">
        <v>182</v>
      </c>
      <c r="C55" s="244" t="e">
        <f ca="1">AVERAGE(C56:C57)</f>
        <v>#NAME?</v>
      </c>
      <c r="E55" s="121" t="s">
        <v>183</v>
      </c>
      <c r="F55" s="263" t="s">
        <v>184</v>
      </c>
      <c r="G55" s="264" t="s">
        <v>56</v>
      </c>
      <c r="H55" s="254" t="str">
        <f ca="1">IF(ISNUMBER(_xll.BDP($C$5&amp;$C54&amp;$E55&amp;" "&amp;H54&amp;" "&amp;$C$7,$G55,"UpdFreq="&amp;$A$3)),_xll.BDP($C$5&amp;$C54&amp;$E55&amp;" "&amp;H54&amp;" "&amp;$C$7,$G55,"UpdFreq="&amp;$A$3),"")</f>
        <v/>
      </c>
      <c r="I55" s="255" t="str">
        <f ca="1">IF(ISNUMBER(_xll.BDP($C$5&amp;$C54&amp;$E55&amp;" "&amp;I54&amp;" "&amp;$C$7,$G55,"UpdFreq="&amp;$A$3)),_xll.BDP($C$5&amp;$C54&amp;$E55&amp;" "&amp;I54&amp;" "&amp;$C$7,$G55,"UpdFreq="&amp;$A$3),"")</f>
        <v/>
      </c>
      <c r="J55" s="255" t="str">
        <f ca="1">IF(ISNUMBER(_xll.BDP($C$5&amp;$C54&amp;$E55&amp;" "&amp;J54&amp;" "&amp;$C$7,$G55,"UpdFreq="&amp;$A$3)),_xll.BDP($C$5&amp;$C54&amp;$E55&amp;" "&amp;J54&amp;" "&amp;$C$7,$G55,"UpdFreq="&amp;$A$3),"")</f>
        <v/>
      </c>
      <c r="K55" s="255" t="str">
        <f ca="1">IF(ISNUMBER(_xll.BDP($C$5&amp;$C54&amp;$E55&amp;" "&amp;K54&amp;" "&amp;$C$7,$G55,"UpdFreq="&amp;$A$3)),_xll.BDP($C$5&amp;$C54&amp;$E55&amp;" "&amp;K54&amp;" "&amp;$C$7,$G55,"UpdFreq="&amp;$A$3),"")</f>
        <v/>
      </c>
      <c r="L55" s="255" t="str">
        <f ca="1">IF(ISNUMBER(_xll.BDP($C$5&amp;$C54&amp;$E55&amp;" "&amp;L54&amp;" "&amp;$C$7,$G55,"UpdFreq="&amp;$A$3)),_xll.BDP($C$5&amp;$C54&amp;$E55&amp;" "&amp;L54&amp;" "&amp;$C$7,$G55,"UpdFreq="&amp;$A$3),"")</f>
        <v/>
      </c>
      <c r="M55" s="255" t="str">
        <f ca="1">IF(ISNUMBER(_xll.BDP($C$5&amp;$C54&amp;$E55&amp;" "&amp;M54&amp;" "&amp;$C$7,$G55,"UpdFreq="&amp;$A$3)),_xll.BDP($C$5&amp;$C54&amp;$E55&amp;" "&amp;M54&amp;" "&amp;$C$7,$G55,"UpdFreq="&amp;$A$3),"")</f>
        <v/>
      </c>
      <c r="N55" s="255" t="str">
        <f ca="1">IF(ISNUMBER(_xll.BDP($C$5&amp;$C54&amp;$E55&amp;" "&amp;N54&amp;" "&amp;$C$7,$G55,"UpdFreq="&amp;$A$3)),_xll.BDP($C$5&amp;$C54&amp;$E55&amp;" "&amp;N54&amp;" "&amp;$C$7,$G55,"UpdFreq="&amp;$A$3),"")</f>
        <v/>
      </c>
      <c r="O55" s="255" t="str">
        <f ca="1">IF(ISNUMBER(_xll.BDP($C$5&amp;$C54&amp;$E55&amp;" "&amp;O54&amp;" "&amp;$C$7,$G55,"UpdFreq="&amp;$A$3)),_xll.BDP($C$5&amp;$C54&amp;$E55&amp;" "&amp;O54&amp;" "&amp;$C$7,$G55,"UpdFreq="&amp;$A$3),"")</f>
        <v/>
      </c>
      <c r="P55" s="255" t="str">
        <f ca="1">IF(ISNUMBER(_xll.BDP($C$5&amp;$C54&amp;$E55&amp;" "&amp;P54&amp;" "&amp;$C$7,$G55,"UpdFreq="&amp;$A$3)),_xll.BDP($C$5&amp;$C54&amp;$E55&amp;" "&amp;P54&amp;" "&amp;$C$7,$G55,"UpdFreq="&amp;$A$3),"")</f>
        <v/>
      </c>
      <c r="Q55" s="255" t="str">
        <f ca="1">IF(ISNUMBER(_xll.BDP($C$5&amp;$C54&amp;$E55&amp;" "&amp;Q54&amp;" "&amp;$C$7,$G55,"UpdFreq="&amp;$A$3)),_xll.BDP($C$5&amp;$C54&amp;$E55&amp;" "&amp;Q54&amp;" "&amp;$C$7,$G55,"UpdFreq="&amp;$A$3),"")</f>
        <v/>
      </c>
      <c r="R55" s="255" t="str">
        <f ca="1">IF(ISNUMBER(_xll.BDP($C$5&amp;$C54&amp;$E55&amp;" "&amp;R54&amp;" "&amp;$C$7,$G55,"UpdFreq="&amp;$A$3)),_xll.BDP($C$5&amp;$C54&amp;$E55&amp;" "&amp;R54&amp;" "&amp;$C$7,$G55,"UpdFreq="&amp;$A$3),"")</f>
        <v/>
      </c>
      <c r="S55" s="255" t="str">
        <f ca="1">IF(ISNUMBER(_xll.BDP($C$5&amp;$C54&amp;$E55&amp;" "&amp;S54&amp;" "&amp;$C$7,$G55,"UpdFreq="&amp;$A$3)),_xll.BDP($C$5&amp;$C54&amp;$E55&amp;" "&amp;S54&amp;" "&amp;$C$7,$G55,"UpdFreq="&amp;$A$3),"")</f>
        <v/>
      </c>
      <c r="T55" s="256" t="str">
        <f ca="1">IF(ISNUMBER(_xll.BDP($C$5&amp;$C54&amp;$E55&amp;" "&amp;T54&amp;" "&amp;$C$7,$G55,"UpdFreq="&amp;$A$3)),_xll.BDP($C$5&amp;$C54&amp;$E55&amp;" "&amp;T54&amp;" "&amp;$C$7,$G55,"UpdFreq="&amp;$A$3),"")</f>
        <v/>
      </c>
    </row>
    <row r="56" spans="2:20">
      <c r="B56" s="245" t="s">
        <v>57</v>
      </c>
      <c r="C56" s="246" t="e">
        <f ca="1">_xll.BDP($C$5&amp;C54&amp;" "&amp;$C$7, G57)</f>
        <v>#NAME?</v>
      </c>
      <c r="F56" s="265"/>
      <c r="G56" s="266" t="s">
        <v>57</v>
      </c>
      <c r="H56" s="257" t="str">
        <f ca="1">IF(ISNUMBER(_xll.BDP($C$5&amp;$C54&amp;$E55&amp;" "&amp;H54&amp;" "&amp;$C$7,$G56,"UpdFreq="&amp;$A$3)),_xll.BDP($C$5&amp;$C54&amp;$E55&amp;" "&amp;H54&amp;" "&amp;$C$7,$G56,"UpdFreq="&amp;$A$3),"")</f>
        <v/>
      </c>
      <c r="I56" s="258" t="str">
        <f ca="1">IF(ISNUMBER(_xll.BDP($C$5&amp;$C54&amp;$E55&amp;" "&amp;I54&amp;" "&amp;$C$7,$G56,"UpdFreq="&amp;$A$3)),_xll.BDP($C$5&amp;$C54&amp;$E55&amp;" "&amp;I54&amp;" "&amp;$C$7,$G56,"UpdFreq="&amp;$A$3),"")</f>
        <v/>
      </c>
      <c r="J56" s="258" t="str">
        <f ca="1">IF(ISNUMBER(_xll.BDP($C$5&amp;$C54&amp;$E55&amp;" "&amp;J54&amp;" "&amp;$C$7,$G56,"UpdFreq="&amp;$A$3)),_xll.BDP($C$5&amp;$C54&amp;$E55&amp;" "&amp;J54&amp;" "&amp;$C$7,$G56,"UpdFreq="&amp;$A$3),"")</f>
        <v/>
      </c>
      <c r="K56" s="258" t="str">
        <f ca="1">IF(ISNUMBER(_xll.BDP($C$5&amp;$C54&amp;$E55&amp;" "&amp;K54&amp;" "&amp;$C$7,$G56,"UpdFreq="&amp;$A$3)),_xll.BDP($C$5&amp;$C54&amp;$E55&amp;" "&amp;K54&amp;" "&amp;$C$7,$G56,"UpdFreq="&amp;$A$3),"")</f>
        <v/>
      </c>
      <c r="L56" s="258" t="str">
        <f ca="1">IF(ISNUMBER(_xll.BDP($C$5&amp;$C54&amp;$E55&amp;" "&amp;L54&amp;" "&amp;$C$7,$G56,"UpdFreq="&amp;$A$3)),_xll.BDP($C$5&amp;$C54&amp;$E55&amp;" "&amp;L54&amp;" "&amp;$C$7,$G56,"UpdFreq="&amp;$A$3),"")</f>
        <v/>
      </c>
      <c r="M56" s="258" t="str">
        <f ca="1">IF(ISNUMBER(_xll.BDP($C$5&amp;$C54&amp;$E55&amp;" "&amp;M54&amp;" "&amp;$C$7,$G56,"UpdFreq="&amp;$A$3)),_xll.BDP($C$5&amp;$C54&amp;$E55&amp;" "&amp;M54&amp;" "&amp;$C$7,$G56,"UpdFreq="&amp;$A$3),"")</f>
        <v/>
      </c>
      <c r="N56" s="258" t="str">
        <f ca="1">IF(ISNUMBER(_xll.BDP($C$5&amp;$C54&amp;$E55&amp;" "&amp;N54&amp;" "&amp;$C$7,$G56,"UpdFreq="&amp;$A$3)),_xll.BDP($C$5&amp;$C54&amp;$E55&amp;" "&amp;N54&amp;" "&amp;$C$7,$G56,"UpdFreq="&amp;$A$3),"")</f>
        <v/>
      </c>
      <c r="O56" s="258" t="str">
        <f ca="1">IF(ISNUMBER(_xll.BDP($C$5&amp;$C54&amp;$E55&amp;" "&amp;O54&amp;" "&amp;$C$7,$G56,"UpdFreq="&amp;$A$3)),_xll.BDP($C$5&amp;$C54&amp;$E55&amp;" "&amp;O54&amp;" "&amp;$C$7,$G56,"UpdFreq="&amp;$A$3),"")</f>
        <v/>
      </c>
      <c r="P56" s="258" t="str">
        <f ca="1">IF(ISNUMBER(_xll.BDP($C$5&amp;$C54&amp;$E55&amp;" "&amp;P54&amp;" "&amp;$C$7,$G56,"UpdFreq="&amp;$A$3)),_xll.BDP($C$5&amp;$C54&amp;$E55&amp;" "&amp;P54&amp;" "&amp;$C$7,$G56,"UpdFreq="&amp;$A$3),"")</f>
        <v/>
      </c>
      <c r="Q56" s="258" t="str">
        <f ca="1">IF(ISNUMBER(_xll.BDP($C$5&amp;$C54&amp;$E55&amp;" "&amp;Q54&amp;" "&amp;$C$7,$G56,"UpdFreq="&amp;$A$3)),_xll.BDP($C$5&amp;$C54&amp;$E55&amp;" "&amp;Q54&amp;" "&amp;$C$7,$G56,"UpdFreq="&amp;$A$3),"")</f>
        <v/>
      </c>
      <c r="R56" s="258" t="str">
        <f ca="1">IF(ISNUMBER(_xll.BDP($C$5&amp;$C54&amp;$E55&amp;" "&amp;R54&amp;" "&amp;$C$7,$G56,"UpdFreq="&amp;$A$3)),_xll.BDP($C$5&amp;$C54&amp;$E55&amp;" "&amp;R54&amp;" "&amp;$C$7,$G56,"UpdFreq="&amp;$A$3),"")</f>
        <v/>
      </c>
      <c r="S56" s="258" t="str">
        <f ca="1">IF(ISNUMBER(_xll.BDP($C$5&amp;$C54&amp;$E55&amp;" "&amp;S54&amp;" "&amp;$C$7,$G56,"UpdFreq="&amp;$A$3)),_xll.BDP($C$5&amp;$C54&amp;$E55&amp;" "&amp;S54&amp;" "&amp;$C$7,$G56,"UpdFreq="&amp;$A$3),"")</f>
        <v/>
      </c>
      <c r="T56" s="259" t="str">
        <f ca="1">IF(ISNUMBER(_xll.BDP($C$5&amp;$C54&amp;$E55&amp;" "&amp;T54&amp;" "&amp;$C$7,$G56,"UpdFreq="&amp;$A$3)),_xll.BDP($C$5&amp;$C54&amp;$E55&amp;" "&amp;T54&amp;" "&amp;$C$7,$G56,"UpdFreq="&amp;$A$3),"")</f>
        <v/>
      </c>
    </row>
    <row r="57" spans="2:20">
      <c r="B57" s="247" t="s">
        <v>56</v>
      </c>
      <c r="C57" s="248" t="e">
        <f ca="1">_xll.BDP($C$5&amp;C54&amp;" "&amp;$C$7, G58)</f>
        <v>#NAME?</v>
      </c>
      <c r="E57" s="121" t="s">
        <v>185</v>
      </c>
      <c r="F57" s="265" t="s">
        <v>186</v>
      </c>
      <c r="G57" s="266" t="s">
        <v>56</v>
      </c>
      <c r="H57" s="257" t="str">
        <f ca="1">IF(ISNUMBER(_xll.BDP($C$5&amp;$C54&amp;$E57&amp;" "&amp;H54&amp;" "&amp;$C$7,$G57,"UpdFreq="&amp;$A$3)),_xll.BDP($C$5&amp;$C54&amp;$E57&amp;" "&amp;H54&amp;" "&amp;$C$7,$G57,"UpdFreq="&amp;$A$3),"")</f>
        <v/>
      </c>
      <c r="I57" s="258" t="str">
        <f ca="1">IF(ISNUMBER(_xll.BDP($C$5&amp;$C54&amp;$E57&amp;" "&amp;I54&amp;" "&amp;$C$7,$G57,"UpdFreq="&amp;$A$3)),_xll.BDP($C$5&amp;$C54&amp;$E57&amp;" "&amp;I54&amp;" "&amp;$C$7,$G57,"UpdFreq="&amp;$A$3),"")</f>
        <v/>
      </c>
      <c r="J57" s="258" t="str">
        <f ca="1">IF(ISNUMBER(_xll.BDP($C$5&amp;$C54&amp;$E57&amp;" "&amp;J54&amp;" "&amp;$C$7,$G57,"UpdFreq="&amp;$A$3)),_xll.BDP($C$5&amp;$C54&amp;$E57&amp;" "&amp;J54&amp;" "&amp;$C$7,$G57,"UpdFreq="&amp;$A$3),"")</f>
        <v/>
      </c>
      <c r="K57" s="258" t="str">
        <f ca="1">IF(ISNUMBER(_xll.BDP($C$5&amp;$C54&amp;$E57&amp;" "&amp;K54&amp;" "&amp;$C$7,$G57,"UpdFreq="&amp;$A$3)),_xll.BDP($C$5&amp;$C54&amp;$E57&amp;" "&amp;K54&amp;" "&amp;$C$7,$G57,"UpdFreq="&amp;$A$3),"")</f>
        <v/>
      </c>
      <c r="L57" s="258" t="str">
        <f ca="1">IF(ISNUMBER(_xll.BDP($C$5&amp;$C54&amp;$E57&amp;" "&amp;L54&amp;" "&amp;$C$7,$G57,"UpdFreq="&amp;$A$3)),_xll.BDP($C$5&amp;$C54&amp;$E57&amp;" "&amp;L54&amp;" "&amp;$C$7,$G57,"UpdFreq="&amp;$A$3),"")</f>
        <v/>
      </c>
      <c r="M57" s="258" t="str">
        <f ca="1">IF(ISNUMBER(_xll.BDP($C$5&amp;$C54&amp;$E57&amp;" "&amp;M54&amp;" "&amp;$C$7,$G57,"UpdFreq="&amp;$A$3)),_xll.BDP($C$5&amp;$C54&amp;$E57&amp;" "&amp;M54&amp;" "&amp;$C$7,$G57,"UpdFreq="&amp;$A$3),"")</f>
        <v/>
      </c>
      <c r="N57" s="258" t="str">
        <f ca="1">IF(ISNUMBER(_xll.BDP($C$5&amp;$C54&amp;$E57&amp;" "&amp;N54&amp;" "&amp;$C$7,$G57,"UpdFreq="&amp;$A$3)),_xll.BDP($C$5&amp;$C54&amp;$E57&amp;" "&amp;N54&amp;" "&amp;$C$7,$G57,"UpdFreq="&amp;$A$3),"")</f>
        <v/>
      </c>
      <c r="O57" s="258" t="str">
        <f ca="1">IF(ISNUMBER(_xll.BDP($C$5&amp;$C54&amp;$E57&amp;" "&amp;O54&amp;" "&amp;$C$7,$G57,"UpdFreq="&amp;$A$3)),_xll.BDP($C$5&amp;$C54&amp;$E57&amp;" "&amp;O54&amp;" "&amp;$C$7,$G57,"UpdFreq="&amp;$A$3),"")</f>
        <v/>
      </c>
      <c r="P57" s="258" t="str">
        <f ca="1">IF(ISNUMBER(_xll.BDP($C$5&amp;$C54&amp;$E57&amp;" "&amp;P54&amp;" "&amp;$C$7,$G57,"UpdFreq="&amp;$A$3)),_xll.BDP($C$5&amp;$C54&amp;$E57&amp;" "&amp;P54&amp;" "&amp;$C$7,$G57,"UpdFreq="&amp;$A$3),"")</f>
        <v/>
      </c>
      <c r="Q57" s="258" t="str">
        <f ca="1">IF(ISNUMBER(_xll.BDP($C$5&amp;$C54&amp;$E57&amp;" "&amp;Q54&amp;" "&amp;$C$7,$G57,"UpdFreq="&amp;$A$3)),_xll.BDP($C$5&amp;$C54&amp;$E57&amp;" "&amp;Q54&amp;" "&amp;$C$7,$G57,"UpdFreq="&amp;$A$3),"")</f>
        <v/>
      </c>
      <c r="R57" s="258" t="str">
        <f ca="1">IF(ISNUMBER(_xll.BDP($C$5&amp;$C54&amp;$E57&amp;" "&amp;R54&amp;" "&amp;$C$7,$G57,"UpdFreq="&amp;$A$3)),_xll.BDP($C$5&amp;$C54&amp;$E57&amp;" "&amp;R54&amp;" "&amp;$C$7,$G57,"UpdFreq="&amp;$A$3),"")</f>
        <v/>
      </c>
      <c r="S57" s="258" t="str">
        <f ca="1">IF(ISNUMBER(_xll.BDP($C$5&amp;$C54&amp;$E57&amp;" "&amp;S54&amp;" "&amp;$C$7,$G57,"UpdFreq="&amp;$A$3)),_xll.BDP($C$5&amp;$C54&amp;$E57&amp;" "&amp;S54&amp;" "&amp;$C$7,$G57,"UpdFreq="&amp;$A$3),"")</f>
        <v/>
      </c>
      <c r="T57" s="259" t="str">
        <f ca="1">IF(ISNUMBER(_xll.BDP($C$5&amp;$C54&amp;$E57&amp;" "&amp;T54&amp;" "&amp;$C$7,$G57,"UpdFreq="&amp;$A$3)),_xll.BDP($C$5&amp;$C54&amp;$E57&amp;" "&amp;T54&amp;" "&amp;$C$7,$G57,"UpdFreq="&amp;$A$3),"")</f>
        <v/>
      </c>
    </row>
    <row r="58" spans="2:20" ht="13.5" thickBot="1">
      <c r="B58" s="249" t="s">
        <v>187</v>
      </c>
      <c r="C58" s="250" t="e">
        <f ca="1">IF(ISNUMBER($N55),_xll.BDP($C$5&amp;$C54&amp;$E55&amp;" "&amp;N54&amp;" "&amp;$C$7,"OPT_EXPIRE_DT"),_xll.BDP($C$5&amp;$C54&amp;$E55&amp;" "&amp;M54&amp;" "&amp;$C$7,"OPT_EXPIRE_DT"))</f>
        <v>#NAME?</v>
      </c>
      <c r="F58" s="267"/>
      <c r="G58" s="268" t="s">
        <v>57</v>
      </c>
      <c r="H58" s="260" t="str">
        <f ca="1">IF(ISNUMBER(_xll.BDP($C$5&amp;$C54&amp;$E57&amp;" "&amp;H54&amp;" "&amp;$C$7,$G58,"UpdFreq="&amp;$A$3)),_xll.BDP($C$5&amp;$C54&amp;$E57&amp;" "&amp;H54&amp;" "&amp;$C$7,$G58,"UpdFreq="&amp;$A$3),"")</f>
        <v/>
      </c>
      <c r="I58" s="261" t="str">
        <f ca="1">IF(ISNUMBER(_xll.BDP($C$5&amp;$C54&amp;$E57&amp;" "&amp;I54&amp;" "&amp;$C$7,$G58,"UpdFreq="&amp;$A$3)),_xll.BDP($C$5&amp;$C54&amp;$E57&amp;" "&amp;I54&amp;" "&amp;$C$7,$G58,"UpdFreq="&amp;$A$3),"")</f>
        <v/>
      </c>
      <c r="J58" s="261" t="str">
        <f ca="1">IF(ISNUMBER(_xll.BDP($C$5&amp;$C54&amp;$E57&amp;" "&amp;J54&amp;" "&amp;$C$7,$G58,"UpdFreq="&amp;$A$3)),_xll.BDP($C$5&amp;$C54&amp;$E57&amp;" "&amp;J54&amp;" "&amp;$C$7,$G58,"UpdFreq="&amp;$A$3),"")</f>
        <v/>
      </c>
      <c r="K58" s="261" t="str">
        <f ca="1">IF(ISNUMBER(_xll.BDP($C$5&amp;$C54&amp;$E57&amp;" "&amp;K54&amp;" "&amp;$C$7,$G58,"UpdFreq="&amp;$A$3)),_xll.BDP($C$5&amp;$C54&amp;$E57&amp;" "&amp;K54&amp;" "&amp;$C$7,$G58,"UpdFreq="&amp;$A$3),"")</f>
        <v/>
      </c>
      <c r="L58" s="261" t="str">
        <f ca="1">IF(ISNUMBER(_xll.BDP($C$5&amp;$C54&amp;$E57&amp;" "&amp;L54&amp;" "&amp;$C$7,$G58,"UpdFreq="&amp;$A$3)),_xll.BDP($C$5&amp;$C54&amp;$E57&amp;" "&amp;L54&amp;" "&amp;$C$7,$G58,"UpdFreq="&amp;$A$3),"")</f>
        <v/>
      </c>
      <c r="M58" s="261" t="str">
        <f ca="1">IF(ISNUMBER(_xll.BDP($C$5&amp;$C54&amp;$E57&amp;" "&amp;M54&amp;" "&amp;$C$7,$G58,"UpdFreq="&amp;$A$3)),_xll.BDP($C$5&amp;$C54&amp;$E57&amp;" "&amp;M54&amp;" "&amp;$C$7,$G58,"UpdFreq="&amp;$A$3),"")</f>
        <v/>
      </c>
      <c r="N58" s="261" t="str">
        <f ca="1">IF(ISNUMBER(_xll.BDP($C$5&amp;$C54&amp;$E57&amp;" "&amp;N54&amp;" "&amp;$C$7,$G58,"UpdFreq="&amp;$A$3)),_xll.BDP($C$5&amp;$C54&amp;$E57&amp;" "&amp;N54&amp;" "&amp;$C$7,$G58,"UpdFreq="&amp;$A$3),"")</f>
        <v/>
      </c>
      <c r="O58" s="261" t="str">
        <f ca="1">IF(ISNUMBER(_xll.BDP($C$5&amp;$C54&amp;$E57&amp;" "&amp;O54&amp;" "&amp;$C$7,$G58,"UpdFreq="&amp;$A$3)),_xll.BDP($C$5&amp;$C54&amp;$E57&amp;" "&amp;O54&amp;" "&amp;$C$7,$G58,"UpdFreq="&amp;$A$3),"")</f>
        <v/>
      </c>
      <c r="P58" s="261" t="str">
        <f ca="1">IF(ISNUMBER(_xll.BDP($C$5&amp;$C54&amp;$E57&amp;" "&amp;P54&amp;" "&amp;$C$7,$G58,"UpdFreq="&amp;$A$3)),_xll.BDP($C$5&amp;$C54&amp;$E57&amp;" "&amp;P54&amp;" "&amp;$C$7,$G58,"UpdFreq="&amp;$A$3),"")</f>
        <v/>
      </c>
      <c r="Q58" s="261" t="str">
        <f ca="1">IF(ISNUMBER(_xll.BDP($C$5&amp;$C54&amp;$E57&amp;" "&amp;Q54&amp;" "&amp;$C$7,$G58,"UpdFreq="&amp;$A$3)),_xll.BDP($C$5&amp;$C54&amp;$E57&amp;" "&amp;Q54&amp;" "&amp;$C$7,$G58,"UpdFreq="&amp;$A$3),"")</f>
        <v/>
      </c>
      <c r="R58" s="261" t="str">
        <f ca="1">IF(ISNUMBER(_xll.BDP($C$5&amp;$C54&amp;$E57&amp;" "&amp;R54&amp;" "&amp;$C$7,$G58,"UpdFreq="&amp;$A$3)),_xll.BDP($C$5&amp;$C54&amp;$E57&amp;" "&amp;R54&amp;" "&amp;$C$7,$G58,"UpdFreq="&amp;$A$3),"")</f>
        <v/>
      </c>
      <c r="S58" s="261" t="str">
        <f ca="1">IF(ISNUMBER(_xll.BDP($C$5&amp;$C54&amp;$E57&amp;" "&amp;S54&amp;" "&amp;$C$7,$G58,"UpdFreq="&amp;$A$3)),_xll.BDP($C$5&amp;$C54&amp;$E57&amp;" "&amp;S54&amp;" "&amp;$C$7,$G58,"UpdFreq="&amp;$A$3),"")</f>
        <v/>
      </c>
      <c r="T58" s="262" t="str">
        <f ca="1">IF(ISNUMBER(_xll.BDP($C$5&amp;$C54&amp;$E57&amp;" "&amp;T54&amp;" "&amp;$C$7,$G58,"UpdFreq="&amp;$A$3)),_xll.BDP($C$5&amp;$C54&amp;$E57&amp;" "&amp;T54&amp;" "&amp;$C$7,$G58,"UpdFreq="&amp;$A$3),"")</f>
        <v/>
      </c>
    </row>
    <row r="132" spans="2:6">
      <c r="B132" s="123"/>
      <c r="C132" s="123"/>
      <c r="D132" s="123"/>
      <c r="E132" s="123"/>
      <c r="F132" s="123"/>
    </row>
    <row r="133" spans="2:6">
      <c r="B133" s="123"/>
      <c r="C133" s="123"/>
      <c r="D133" s="123"/>
      <c r="E133" s="123"/>
      <c r="F133" s="123"/>
    </row>
    <row r="134" spans="2:6">
      <c r="B134" s="123"/>
      <c r="C134" s="123"/>
      <c r="D134" s="123"/>
      <c r="E134" s="123"/>
      <c r="F134" s="123"/>
    </row>
    <row r="135" spans="2:6">
      <c r="B135" s="123"/>
      <c r="C135" s="123"/>
      <c r="D135" s="123"/>
      <c r="E135" s="123"/>
      <c r="F135" s="123"/>
    </row>
    <row r="136" spans="2:6">
      <c r="B136" s="123"/>
      <c r="C136" s="123"/>
      <c r="D136" s="123"/>
      <c r="E136" s="123"/>
      <c r="F136" s="123"/>
    </row>
    <row r="137" spans="2:6">
      <c r="B137" s="123"/>
      <c r="C137" s="123"/>
      <c r="D137" s="123"/>
      <c r="E137" s="123"/>
      <c r="F137" s="123"/>
    </row>
    <row r="138" spans="2:6">
      <c r="B138" s="123"/>
      <c r="C138" s="123"/>
      <c r="D138" s="123"/>
      <c r="E138" s="123"/>
      <c r="F138" s="123"/>
    </row>
    <row r="139" spans="2:6">
      <c r="B139" s="123"/>
      <c r="C139" s="123"/>
      <c r="D139" s="123"/>
      <c r="E139" s="123"/>
      <c r="F139" s="123"/>
    </row>
  </sheetData>
  <phoneticPr fontId="2" type="noConversion"/>
  <dataValidations count="3">
    <dataValidation type="list" allowBlank="1" showInputMessage="1" showErrorMessage="1" sqref="C3 AD3">
      <formula1>$AE$3:$AE$6</formula1>
    </dataValidation>
    <dataValidation type="list" allowBlank="1" showInputMessage="1" showErrorMessage="1" sqref="C2 AD2">
      <formula1>$Q$2:$Q$3</formula1>
    </dataValidation>
    <dataValidation type="list" allowBlank="1" showInputMessage="1" showErrorMessage="1" sqref="C135:C136">
      <formula1>Contributori</formula1>
    </dataValidation>
  </dataValidations>
  <pageMargins left="0.75" right="0.75" top="1" bottom="1" header="0.5" footer="0.5"/>
  <pageSetup paperSize="9" orientation="landscape" r:id="rId1"/>
  <headerFooter alignWithMargins="0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"/>
  <dimension ref="B1:T49"/>
  <sheetViews>
    <sheetView tabSelected="1" workbookViewId="0">
      <selection activeCell="B2" sqref="B2"/>
    </sheetView>
  </sheetViews>
  <sheetFormatPr defaultRowHeight="12.75"/>
  <cols>
    <col min="3" max="3" width="10.42578125" bestFit="1" customWidth="1"/>
    <col min="7" max="7" width="11.7109375" bestFit="1" customWidth="1"/>
  </cols>
  <sheetData>
    <row r="1" spans="2:20">
      <c r="B1" s="132" t="s">
        <v>176</v>
      </c>
      <c r="C1" s="315">
        <v>41972</v>
      </c>
    </row>
    <row r="2" spans="2:20" ht="13.5" thickBot="1"/>
    <row r="3" spans="2:20" ht="13.5" thickBot="1">
      <c r="B3" s="241" t="s">
        <v>181</v>
      </c>
      <c r="C3" s="242" t="s">
        <v>188</v>
      </c>
      <c r="D3" s="121"/>
      <c r="E3" s="121"/>
      <c r="F3" s="241" t="s">
        <v>208</v>
      </c>
      <c r="G3" s="121" t="s">
        <v>209</v>
      </c>
      <c r="H3" s="251" t="e">
        <v>#NAME?</v>
      </c>
      <c r="I3" s="252" t="e">
        <v>#NAME?</v>
      </c>
      <c r="J3" s="252" t="e">
        <v>#NAME?</v>
      </c>
      <c r="K3" s="252" t="e">
        <v>#NAME?</v>
      </c>
      <c r="L3" s="252" t="e">
        <v>#NAME?</v>
      </c>
      <c r="M3" s="252" t="e">
        <v>#NAME?</v>
      </c>
      <c r="N3" s="253" t="e">
        <v>#NAME?</v>
      </c>
      <c r="O3" s="252" t="e">
        <v>#NAME?</v>
      </c>
      <c r="P3" s="252" t="e">
        <v>#NAME?</v>
      </c>
      <c r="Q3" s="252" t="e">
        <v>#NAME?</v>
      </c>
      <c r="R3" s="252" t="e">
        <v>#NAME?</v>
      </c>
      <c r="S3" s="252" t="e">
        <v>#NAME?</v>
      </c>
      <c r="T3" s="252" t="e">
        <v>#NAME?</v>
      </c>
    </row>
    <row r="4" spans="2:20">
      <c r="B4" s="243" t="s">
        <v>182</v>
      </c>
      <c r="C4" s="244" t="e">
        <v>#NAME?</v>
      </c>
      <c r="D4" s="121"/>
      <c r="E4" s="121" t="s">
        <v>183</v>
      </c>
      <c r="F4" s="263" t="s">
        <v>184</v>
      </c>
      <c r="G4" s="264" t="s">
        <v>56</v>
      </c>
      <c r="H4" s="254" t="s">
        <v>207</v>
      </c>
      <c r="I4" s="255" t="s">
        <v>207</v>
      </c>
      <c r="J4" s="255" t="s">
        <v>207</v>
      </c>
      <c r="K4" s="255" t="s">
        <v>207</v>
      </c>
      <c r="L4" s="255" t="s">
        <v>207</v>
      </c>
      <c r="M4" s="255" t="s">
        <v>207</v>
      </c>
      <c r="N4" s="255" t="s">
        <v>207</v>
      </c>
      <c r="O4" s="255" t="s">
        <v>207</v>
      </c>
      <c r="P4" s="255" t="s">
        <v>207</v>
      </c>
      <c r="Q4" s="255" t="s">
        <v>207</v>
      </c>
      <c r="R4" s="255" t="s">
        <v>207</v>
      </c>
      <c r="S4" s="255" t="s">
        <v>207</v>
      </c>
      <c r="T4" s="256" t="s">
        <v>207</v>
      </c>
    </row>
    <row r="5" spans="2:20">
      <c r="B5" s="245" t="s">
        <v>57</v>
      </c>
      <c r="C5" s="246" t="e">
        <v>#NAME?</v>
      </c>
      <c r="D5" s="121"/>
      <c r="E5" s="121"/>
      <c r="F5" s="265"/>
      <c r="G5" s="266" t="s">
        <v>57</v>
      </c>
      <c r="H5" s="257" t="s">
        <v>207</v>
      </c>
      <c r="I5" s="258" t="s">
        <v>207</v>
      </c>
      <c r="J5" s="258" t="s">
        <v>207</v>
      </c>
      <c r="K5" s="258" t="s">
        <v>207</v>
      </c>
      <c r="L5" s="258" t="s">
        <v>207</v>
      </c>
      <c r="M5" s="258" t="s">
        <v>207</v>
      </c>
      <c r="N5" s="258" t="s">
        <v>207</v>
      </c>
      <c r="O5" s="258" t="s">
        <v>207</v>
      </c>
      <c r="P5" s="258" t="s">
        <v>207</v>
      </c>
      <c r="Q5" s="258" t="s">
        <v>207</v>
      </c>
      <c r="R5" s="258" t="s">
        <v>207</v>
      </c>
      <c r="S5" s="258" t="s">
        <v>207</v>
      </c>
      <c r="T5" s="259" t="s">
        <v>207</v>
      </c>
    </row>
    <row r="6" spans="2:20">
      <c r="B6" s="247" t="s">
        <v>56</v>
      </c>
      <c r="C6" s="248" t="e">
        <v>#NAME?</v>
      </c>
      <c r="D6" s="121"/>
      <c r="E6" s="121" t="s">
        <v>185</v>
      </c>
      <c r="F6" s="265" t="s">
        <v>186</v>
      </c>
      <c r="G6" s="266" t="s">
        <v>56</v>
      </c>
      <c r="H6" s="257" t="s">
        <v>207</v>
      </c>
      <c r="I6" s="258" t="s">
        <v>207</v>
      </c>
      <c r="J6" s="258" t="s">
        <v>207</v>
      </c>
      <c r="K6" s="258" t="s">
        <v>207</v>
      </c>
      <c r="L6" s="258" t="s">
        <v>207</v>
      </c>
      <c r="M6" s="258" t="s">
        <v>207</v>
      </c>
      <c r="N6" s="258" t="s">
        <v>207</v>
      </c>
      <c r="O6" s="258" t="s">
        <v>207</v>
      </c>
      <c r="P6" s="258" t="s">
        <v>207</v>
      </c>
      <c r="Q6" s="258" t="s">
        <v>207</v>
      </c>
      <c r="R6" s="258" t="s">
        <v>207</v>
      </c>
      <c r="S6" s="258" t="s">
        <v>207</v>
      </c>
      <c r="T6" s="259" t="s">
        <v>207</v>
      </c>
    </row>
    <row r="7" spans="2:20" ht="13.5" thickBot="1">
      <c r="B7" s="249" t="s">
        <v>187</v>
      </c>
      <c r="C7" s="250" t="e">
        <v>#NAME?</v>
      </c>
      <c r="D7" s="121"/>
      <c r="E7" s="121"/>
      <c r="F7" s="267"/>
      <c r="G7" s="268" t="s">
        <v>57</v>
      </c>
      <c r="H7" s="260" t="s">
        <v>207</v>
      </c>
      <c r="I7" s="261" t="s">
        <v>207</v>
      </c>
      <c r="J7" s="261" t="s">
        <v>207</v>
      </c>
      <c r="K7" s="261" t="s">
        <v>207</v>
      </c>
      <c r="L7" s="261" t="s">
        <v>207</v>
      </c>
      <c r="M7" s="261" t="s">
        <v>207</v>
      </c>
      <c r="N7" s="261" t="s">
        <v>207</v>
      </c>
      <c r="O7" s="261" t="s">
        <v>207</v>
      </c>
      <c r="P7" s="261" t="s">
        <v>207</v>
      </c>
      <c r="Q7" s="261" t="s">
        <v>207</v>
      </c>
      <c r="R7" s="261" t="s">
        <v>207</v>
      </c>
      <c r="S7" s="261" t="s">
        <v>207</v>
      </c>
      <c r="T7" s="262" t="s">
        <v>207</v>
      </c>
    </row>
    <row r="8" spans="2:20" ht="13.5" thickBot="1">
      <c r="B8" s="121"/>
      <c r="C8" s="219"/>
      <c r="D8" s="121"/>
      <c r="E8" s="121"/>
      <c r="F8" s="121"/>
      <c r="G8" s="121"/>
      <c r="H8" s="121"/>
      <c r="I8" s="121"/>
      <c r="J8" s="121"/>
      <c r="K8" s="121"/>
      <c r="L8" s="121"/>
      <c r="M8" s="121"/>
      <c r="N8" s="121"/>
      <c r="O8" s="121"/>
      <c r="P8" s="121"/>
      <c r="Q8" s="121"/>
      <c r="R8" s="121"/>
      <c r="S8" s="121"/>
      <c r="T8" s="121"/>
    </row>
    <row r="9" spans="2:20" ht="13.5" thickBot="1">
      <c r="B9" s="241" t="s">
        <v>181</v>
      </c>
      <c r="C9" s="242" t="s">
        <v>189</v>
      </c>
      <c r="D9" s="121"/>
      <c r="E9" s="121"/>
      <c r="F9" s="241" t="s">
        <v>208</v>
      </c>
      <c r="G9" s="121" t="s">
        <v>210</v>
      </c>
      <c r="H9" s="251" t="e">
        <v>#NAME?</v>
      </c>
      <c r="I9" s="252" t="e">
        <v>#NAME?</v>
      </c>
      <c r="J9" s="252" t="e">
        <v>#NAME?</v>
      </c>
      <c r="K9" s="252" t="e">
        <v>#NAME?</v>
      </c>
      <c r="L9" s="252" t="e">
        <v>#NAME?</v>
      </c>
      <c r="M9" s="252" t="e">
        <v>#NAME?</v>
      </c>
      <c r="N9" s="253" t="e">
        <v>#NAME?</v>
      </c>
      <c r="O9" s="252" t="e">
        <v>#NAME?</v>
      </c>
      <c r="P9" s="252" t="e">
        <v>#NAME?</v>
      </c>
      <c r="Q9" s="252" t="e">
        <v>#NAME?</v>
      </c>
      <c r="R9" s="252" t="e">
        <v>#NAME?</v>
      </c>
      <c r="S9" s="252" t="e">
        <v>#NAME?</v>
      </c>
      <c r="T9" s="252" t="e">
        <v>#NAME?</v>
      </c>
    </row>
    <row r="10" spans="2:20">
      <c r="B10" s="243" t="s">
        <v>182</v>
      </c>
      <c r="C10" s="244" t="e">
        <v>#NAME?</v>
      </c>
      <c r="D10" s="121"/>
      <c r="E10" s="121" t="s">
        <v>183</v>
      </c>
      <c r="F10" s="263" t="s">
        <v>184</v>
      </c>
      <c r="G10" s="264" t="s">
        <v>56</v>
      </c>
      <c r="H10" s="254" t="s">
        <v>207</v>
      </c>
      <c r="I10" s="255" t="s">
        <v>207</v>
      </c>
      <c r="J10" s="255" t="s">
        <v>207</v>
      </c>
      <c r="K10" s="255" t="s">
        <v>207</v>
      </c>
      <c r="L10" s="255" t="s">
        <v>207</v>
      </c>
      <c r="M10" s="255" t="s">
        <v>207</v>
      </c>
      <c r="N10" s="255" t="s">
        <v>207</v>
      </c>
      <c r="O10" s="255" t="s">
        <v>207</v>
      </c>
      <c r="P10" s="255" t="s">
        <v>207</v>
      </c>
      <c r="Q10" s="255" t="s">
        <v>207</v>
      </c>
      <c r="R10" s="255" t="s">
        <v>207</v>
      </c>
      <c r="S10" s="255" t="s">
        <v>207</v>
      </c>
      <c r="T10" s="256" t="s">
        <v>207</v>
      </c>
    </row>
    <row r="11" spans="2:20">
      <c r="B11" s="245" t="s">
        <v>57</v>
      </c>
      <c r="C11" s="246" t="e">
        <v>#NAME?</v>
      </c>
      <c r="D11" s="121"/>
      <c r="E11" s="121"/>
      <c r="F11" s="265"/>
      <c r="G11" s="266" t="s">
        <v>57</v>
      </c>
      <c r="H11" s="257" t="s">
        <v>207</v>
      </c>
      <c r="I11" s="258" t="s">
        <v>207</v>
      </c>
      <c r="J11" s="258" t="s">
        <v>207</v>
      </c>
      <c r="K11" s="258" t="s">
        <v>207</v>
      </c>
      <c r="L11" s="258" t="s">
        <v>207</v>
      </c>
      <c r="M11" s="258" t="s">
        <v>207</v>
      </c>
      <c r="N11" s="258" t="s">
        <v>207</v>
      </c>
      <c r="O11" s="258" t="s">
        <v>207</v>
      </c>
      <c r="P11" s="258" t="s">
        <v>207</v>
      </c>
      <c r="Q11" s="258" t="s">
        <v>207</v>
      </c>
      <c r="R11" s="258" t="s">
        <v>207</v>
      </c>
      <c r="S11" s="258" t="s">
        <v>207</v>
      </c>
      <c r="T11" s="259" t="s">
        <v>207</v>
      </c>
    </row>
    <row r="12" spans="2:20">
      <c r="B12" s="247" t="s">
        <v>56</v>
      </c>
      <c r="C12" s="248" t="e">
        <v>#NAME?</v>
      </c>
      <c r="D12" s="121"/>
      <c r="E12" s="121" t="s">
        <v>185</v>
      </c>
      <c r="F12" s="265" t="s">
        <v>186</v>
      </c>
      <c r="G12" s="266" t="s">
        <v>56</v>
      </c>
      <c r="H12" s="257" t="s">
        <v>207</v>
      </c>
      <c r="I12" s="258" t="s">
        <v>207</v>
      </c>
      <c r="J12" s="258" t="s">
        <v>207</v>
      </c>
      <c r="K12" s="258" t="s">
        <v>207</v>
      </c>
      <c r="L12" s="258" t="s">
        <v>207</v>
      </c>
      <c r="M12" s="258" t="s">
        <v>207</v>
      </c>
      <c r="N12" s="258" t="s">
        <v>207</v>
      </c>
      <c r="O12" s="258" t="s">
        <v>207</v>
      </c>
      <c r="P12" s="258" t="s">
        <v>207</v>
      </c>
      <c r="Q12" s="258" t="s">
        <v>207</v>
      </c>
      <c r="R12" s="258" t="s">
        <v>207</v>
      </c>
      <c r="S12" s="258" t="s">
        <v>207</v>
      </c>
      <c r="T12" s="259" t="s">
        <v>207</v>
      </c>
    </row>
    <row r="13" spans="2:20" ht="13.5" thickBot="1">
      <c r="B13" s="249" t="s">
        <v>187</v>
      </c>
      <c r="C13" s="250" t="e">
        <v>#NAME?</v>
      </c>
      <c r="D13" s="121"/>
      <c r="E13" s="121"/>
      <c r="F13" s="267"/>
      <c r="G13" s="268" t="s">
        <v>57</v>
      </c>
      <c r="H13" s="260" t="s">
        <v>207</v>
      </c>
      <c r="I13" s="261" t="s">
        <v>207</v>
      </c>
      <c r="J13" s="261" t="s">
        <v>207</v>
      </c>
      <c r="K13" s="261" t="s">
        <v>207</v>
      </c>
      <c r="L13" s="261" t="s">
        <v>207</v>
      </c>
      <c r="M13" s="261" t="s">
        <v>207</v>
      </c>
      <c r="N13" s="261" t="s">
        <v>207</v>
      </c>
      <c r="O13" s="261" t="s">
        <v>207</v>
      </c>
      <c r="P13" s="261" t="s">
        <v>207</v>
      </c>
      <c r="Q13" s="261" t="s">
        <v>207</v>
      </c>
      <c r="R13" s="261" t="s">
        <v>207</v>
      </c>
      <c r="S13" s="261" t="s">
        <v>207</v>
      </c>
      <c r="T13" s="262" t="s">
        <v>207</v>
      </c>
    </row>
    <row r="14" spans="2:20" ht="13.5" thickBot="1">
      <c r="B14" s="121"/>
      <c r="C14" s="121"/>
      <c r="D14" s="121"/>
      <c r="E14" s="121"/>
      <c r="F14" s="121"/>
      <c r="G14" s="121"/>
      <c r="H14" s="121"/>
      <c r="I14" s="121"/>
      <c r="J14" s="121"/>
      <c r="K14" s="121"/>
      <c r="L14" s="121"/>
      <c r="M14" s="121"/>
      <c r="N14" s="121"/>
      <c r="O14" s="121"/>
      <c r="P14" s="121"/>
      <c r="Q14" s="121"/>
      <c r="R14" s="121"/>
      <c r="S14" s="121"/>
      <c r="T14" s="121"/>
    </row>
    <row r="15" spans="2:20" ht="13.5" thickBot="1">
      <c r="B15" s="241" t="s">
        <v>181</v>
      </c>
      <c r="C15" s="242" t="s">
        <v>190</v>
      </c>
      <c r="D15" s="121"/>
      <c r="E15" s="121"/>
      <c r="F15" s="241" t="s">
        <v>208</v>
      </c>
      <c r="G15" s="121" t="s">
        <v>211</v>
      </c>
      <c r="H15" s="251" t="e">
        <v>#NAME?</v>
      </c>
      <c r="I15" s="252" t="e">
        <v>#NAME?</v>
      </c>
      <c r="J15" s="252" t="e">
        <v>#NAME?</v>
      </c>
      <c r="K15" s="252" t="e">
        <v>#NAME?</v>
      </c>
      <c r="L15" s="252" t="e">
        <v>#NAME?</v>
      </c>
      <c r="M15" s="252" t="e">
        <v>#NAME?</v>
      </c>
      <c r="N15" s="253" t="e">
        <v>#NAME?</v>
      </c>
      <c r="O15" s="252" t="e">
        <v>#NAME?</v>
      </c>
      <c r="P15" s="252" t="e">
        <v>#NAME?</v>
      </c>
      <c r="Q15" s="252" t="e">
        <v>#NAME?</v>
      </c>
      <c r="R15" s="252" t="e">
        <v>#NAME?</v>
      </c>
      <c r="S15" s="252" t="e">
        <v>#NAME?</v>
      </c>
      <c r="T15" s="252" t="e">
        <v>#NAME?</v>
      </c>
    </row>
    <row r="16" spans="2:20">
      <c r="B16" s="243" t="s">
        <v>182</v>
      </c>
      <c r="C16" s="244" t="e">
        <v>#NAME?</v>
      </c>
      <c r="D16" s="121"/>
      <c r="E16" s="121" t="s">
        <v>183</v>
      </c>
      <c r="F16" s="263" t="s">
        <v>184</v>
      </c>
      <c r="G16" s="264" t="s">
        <v>56</v>
      </c>
      <c r="H16" s="254" t="s">
        <v>207</v>
      </c>
      <c r="I16" s="255" t="s">
        <v>207</v>
      </c>
      <c r="J16" s="255" t="s">
        <v>207</v>
      </c>
      <c r="K16" s="255" t="s">
        <v>207</v>
      </c>
      <c r="L16" s="255" t="s">
        <v>207</v>
      </c>
      <c r="M16" s="255" t="s">
        <v>207</v>
      </c>
      <c r="N16" s="255" t="s">
        <v>207</v>
      </c>
      <c r="O16" s="255" t="s">
        <v>207</v>
      </c>
      <c r="P16" s="255" t="s">
        <v>207</v>
      </c>
      <c r="Q16" s="255" t="s">
        <v>207</v>
      </c>
      <c r="R16" s="255" t="s">
        <v>207</v>
      </c>
      <c r="S16" s="255" t="s">
        <v>207</v>
      </c>
      <c r="T16" s="256" t="s">
        <v>207</v>
      </c>
    </row>
    <row r="17" spans="2:20">
      <c r="B17" s="245" t="s">
        <v>57</v>
      </c>
      <c r="C17" s="246" t="e">
        <v>#NAME?</v>
      </c>
      <c r="D17" s="121"/>
      <c r="E17" s="121"/>
      <c r="F17" s="265"/>
      <c r="G17" s="266" t="s">
        <v>57</v>
      </c>
      <c r="H17" s="257" t="s">
        <v>207</v>
      </c>
      <c r="I17" s="258" t="s">
        <v>207</v>
      </c>
      <c r="J17" s="258" t="s">
        <v>207</v>
      </c>
      <c r="K17" s="258" t="s">
        <v>207</v>
      </c>
      <c r="L17" s="258" t="s">
        <v>207</v>
      </c>
      <c r="M17" s="258" t="s">
        <v>207</v>
      </c>
      <c r="N17" s="258" t="s">
        <v>207</v>
      </c>
      <c r="O17" s="258" t="s">
        <v>207</v>
      </c>
      <c r="P17" s="258" t="s">
        <v>207</v>
      </c>
      <c r="Q17" s="258" t="s">
        <v>207</v>
      </c>
      <c r="R17" s="258" t="s">
        <v>207</v>
      </c>
      <c r="S17" s="258" t="s">
        <v>207</v>
      </c>
      <c r="T17" s="259" t="s">
        <v>207</v>
      </c>
    </row>
    <row r="18" spans="2:20">
      <c r="B18" s="247" t="s">
        <v>56</v>
      </c>
      <c r="C18" s="248" t="e">
        <v>#NAME?</v>
      </c>
      <c r="D18" s="121"/>
      <c r="E18" s="121" t="s">
        <v>185</v>
      </c>
      <c r="F18" s="265" t="s">
        <v>186</v>
      </c>
      <c r="G18" s="266" t="s">
        <v>56</v>
      </c>
      <c r="H18" s="257" t="s">
        <v>207</v>
      </c>
      <c r="I18" s="258" t="s">
        <v>207</v>
      </c>
      <c r="J18" s="258" t="s">
        <v>207</v>
      </c>
      <c r="K18" s="258" t="s">
        <v>207</v>
      </c>
      <c r="L18" s="258" t="s">
        <v>207</v>
      </c>
      <c r="M18" s="258" t="s">
        <v>207</v>
      </c>
      <c r="N18" s="258" t="s">
        <v>207</v>
      </c>
      <c r="O18" s="258" t="s">
        <v>207</v>
      </c>
      <c r="P18" s="258" t="s">
        <v>207</v>
      </c>
      <c r="Q18" s="258" t="s">
        <v>207</v>
      </c>
      <c r="R18" s="258" t="s">
        <v>207</v>
      </c>
      <c r="S18" s="258" t="s">
        <v>207</v>
      </c>
      <c r="T18" s="259" t="s">
        <v>207</v>
      </c>
    </row>
    <row r="19" spans="2:20" ht="13.5" thickBot="1">
      <c r="B19" s="249" t="s">
        <v>187</v>
      </c>
      <c r="C19" s="250" t="e">
        <v>#NAME?</v>
      </c>
      <c r="D19" s="121"/>
      <c r="E19" s="121"/>
      <c r="F19" s="267"/>
      <c r="G19" s="268" t="s">
        <v>57</v>
      </c>
      <c r="H19" s="260" t="s">
        <v>207</v>
      </c>
      <c r="I19" s="261" t="s">
        <v>207</v>
      </c>
      <c r="J19" s="261" t="s">
        <v>207</v>
      </c>
      <c r="K19" s="261" t="s">
        <v>207</v>
      </c>
      <c r="L19" s="261" t="s">
        <v>207</v>
      </c>
      <c r="M19" s="261" t="s">
        <v>207</v>
      </c>
      <c r="N19" s="261" t="s">
        <v>207</v>
      </c>
      <c r="O19" s="261" t="s">
        <v>207</v>
      </c>
      <c r="P19" s="261" t="s">
        <v>207</v>
      </c>
      <c r="Q19" s="261" t="s">
        <v>207</v>
      </c>
      <c r="R19" s="261" t="s">
        <v>207</v>
      </c>
      <c r="S19" s="261" t="s">
        <v>207</v>
      </c>
      <c r="T19" s="262" t="s">
        <v>207</v>
      </c>
    </row>
    <row r="20" spans="2:20" ht="13.5" thickBot="1">
      <c r="B20" s="121"/>
      <c r="C20" s="121"/>
      <c r="D20" s="121"/>
      <c r="E20" s="121"/>
      <c r="F20" s="121"/>
      <c r="G20" s="121"/>
      <c r="H20" s="121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</row>
    <row r="21" spans="2:20" ht="13.5" thickBot="1">
      <c r="B21" s="241" t="s">
        <v>181</v>
      </c>
      <c r="C21" s="242" t="s">
        <v>191</v>
      </c>
      <c r="D21" s="121"/>
      <c r="E21" s="121"/>
      <c r="F21" s="241" t="s">
        <v>208</v>
      </c>
      <c r="G21" s="121" t="s">
        <v>212</v>
      </c>
      <c r="H21" s="251" t="e">
        <v>#NAME?</v>
      </c>
      <c r="I21" s="252" t="e">
        <v>#NAME?</v>
      </c>
      <c r="J21" s="252" t="e">
        <v>#NAME?</v>
      </c>
      <c r="K21" s="252" t="e">
        <v>#NAME?</v>
      </c>
      <c r="L21" s="252" t="e">
        <v>#NAME?</v>
      </c>
      <c r="M21" s="252" t="e">
        <v>#NAME?</v>
      </c>
      <c r="N21" s="253" t="e">
        <v>#NAME?</v>
      </c>
      <c r="O21" s="252" t="e">
        <v>#NAME?</v>
      </c>
      <c r="P21" s="252" t="e">
        <v>#NAME?</v>
      </c>
      <c r="Q21" s="252" t="e">
        <v>#NAME?</v>
      </c>
      <c r="R21" s="252" t="e">
        <v>#NAME?</v>
      </c>
      <c r="S21" s="252" t="e">
        <v>#NAME?</v>
      </c>
      <c r="T21" s="252" t="e">
        <v>#NAME?</v>
      </c>
    </row>
    <row r="22" spans="2:20">
      <c r="B22" s="243" t="s">
        <v>182</v>
      </c>
      <c r="C22" s="244" t="e">
        <v>#NAME?</v>
      </c>
      <c r="D22" s="121"/>
      <c r="E22" s="121" t="s">
        <v>183</v>
      </c>
      <c r="F22" s="263" t="s">
        <v>184</v>
      </c>
      <c r="G22" s="264" t="s">
        <v>56</v>
      </c>
      <c r="H22" s="254" t="s">
        <v>207</v>
      </c>
      <c r="I22" s="255" t="s">
        <v>207</v>
      </c>
      <c r="J22" s="255" t="s">
        <v>207</v>
      </c>
      <c r="K22" s="255" t="s">
        <v>207</v>
      </c>
      <c r="L22" s="255" t="s">
        <v>207</v>
      </c>
      <c r="M22" s="255" t="s">
        <v>207</v>
      </c>
      <c r="N22" s="255" t="s">
        <v>207</v>
      </c>
      <c r="O22" s="255" t="s">
        <v>207</v>
      </c>
      <c r="P22" s="255" t="s">
        <v>207</v>
      </c>
      <c r="Q22" s="255" t="s">
        <v>207</v>
      </c>
      <c r="R22" s="255" t="s">
        <v>207</v>
      </c>
      <c r="S22" s="255" t="s">
        <v>207</v>
      </c>
      <c r="T22" s="256" t="s">
        <v>207</v>
      </c>
    </row>
    <row r="23" spans="2:20">
      <c r="B23" s="245" t="s">
        <v>57</v>
      </c>
      <c r="C23" s="246" t="e">
        <v>#NAME?</v>
      </c>
      <c r="D23" s="121"/>
      <c r="E23" s="121"/>
      <c r="F23" s="265"/>
      <c r="G23" s="266" t="s">
        <v>57</v>
      </c>
      <c r="H23" s="257" t="s">
        <v>207</v>
      </c>
      <c r="I23" s="258" t="s">
        <v>207</v>
      </c>
      <c r="J23" s="258" t="s">
        <v>207</v>
      </c>
      <c r="K23" s="258" t="s">
        <v>207</v>
      </c>
      <c r="L23" s="258" t="s">
        <v>207</v>
      </c>
      <c r="M23" s="258" t="s">
        <v>207</v>
      </c>
      <c r="N23" s="258" t="s">
        <v>207</v>
      </c>
      <c r="O23" s="258" t="s">
        <v>207</v>
      </c>
      <c r="P23" s="258" t="s">
        <v>207</v>
      </c>
      <c r="Q23" s="258" t="s">
        <v>207</v>
      </c>
      <c r="R23" s="258" t="s">
        <v>207</v>
      </c>
      <c r="S23" s="258" t="s">
        <v>207</v>
      </c>
      <c r="T23" s="259" t="s">
        <v>207</v>
      </c>
    </row>
    <row r="24" spans="2:20">
      <c r="B24" s="247" t="s">
        <v>56</v>
      </c>
      <c r="C24" s="248" t="e">
        <v>#NAME?</v>
      </c>
      <c r="D24" s="121"/>
      <c r="E24" s="121" t="s">
        <v>185</v>
      </c>
      <c r="F24" s="265" t="s">
        <v>186</v>
      </c>
      <c r="G24" s="266" t="s">
        <v>56</v>
      </c>
      <c r="H24" s="257" t="s">
        <v>207</v>
      </c>
      <c r="I24" s="258" t="s">
        <v>207</v>
      </c>
      <c r="J24" s="258" t="s">
        <v>207</v>
      </c>
      <c r="K24" s="258" t="s">
        <v>207</v>
      </c>
      <c r="L24" s="258" t="s">
        <v>207</v>
      </c>
      <c r="M24" s="258" t="s">
        <v>207</v>
      </c>
      <c r="N24" s="258" t="s">
        <v>207</v>
      </c>
      <c r="O24" s="258" t="s">
        <v>207</v>
      </c>
      <c r="P24" s="258" t="s">
        <v>207</v>
      </c>
      <c r="Q24" s="258" t="s">
        <v>207</v>
      </c>
      <c r="R24" s="258" t="s">
        <v>207</v>
      </c>
      <c r="S24" s="258" t="s">
        <v>207</v>
      </c>
      <c r="T24" s="259" t="s">
        <v>207</v>
      </c>
    </row>
    <row r="25" spans="2:20" ht="13.5" thickBot="1">
      <c r="B25" s="249" t="s">
        <v>187</v>
      </c>
      <c r="C25" s="250" t="e">
        <v>#NAME?</v>
      </c>
      <c r="D25" s="121"/>
      <c r="E25" s="121"/>
      <c r="F25" s="267"/>
      <c r="G25" s="268" t="s">
        <v>57</v>
      </c>
      <c r="H25" s="260" t="s">
        <v>207</v>
      </c>
      <c r="I25" s="261" t="s">
        <v>207</v>
      </c>
      <c r="J25" s="261" t="s">
        <v>207</v>
      </c>
      <c r="K25" s="261" t="s">
        <v>207</v>
      </c>
      <c r="L25" s="261" t="s">
        <v>207</v>
      </c>
      <c r="M25" s="261" t="s">
        <v>207</v>
      </c>
      <c r="N25" s="261" t="s">
        <v>207</v>
      </c>
      <c r="O25" s="261" t="s">
        <v>207</v>
      </c>
      <c r="P25" s="261" t="s">
        <v>207</v>
      </c>
      <c r="Q25" s="261" t="s">
        <v>207</v>
      </c>
      <c r="R25" s="261" t="s">
        <v>207</v>
      </c>
      <c r="S25" s="261" t="s">
        <v>207</v>
      </c>
      <c r="T25" s="262" t="s">
        <v>207</v>
      </c>
    </row>
    <row r="26" spans="2:20" ht="13.5" thickBot="1"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</row>
    <row r="27" spans="2:20" ht="13.5" thickBot="1">
      <c r="B27" s="241" t="s">
        <v>181</v>
      </c>
      <c r="C27" s="242" t="s">
        <v>192</v>
      </c>
      <c r="D27" s="121"/>
      <c r="E27" s="121"/>
      <c r="F27" s="241" t="s">
        <v>208</v>
      </c>
      <c r="G27" s="121" t="s">
        <v>213</v>
      </c>
      <c r="H27" s="251" t="e">
        <v>#NAME?</v>
      </c>
      <c r="I27" s="252" t="e">
        <v>#NAME?</v>
      </c>
      <c r="J27" s="252" t="e">
        <v>#NAME?</v>
      </c>
      <c r="K27" s="252" t="e">
        <v>#NAME?</v>
      </c>
      <c r="L27" s="252" t="e">
        <v>#NAME?</v>
      </c>
      <c r="M27" s="252" t="e">
        <v>#NAME?</v>
      </c>
      <c r="N27" s="253" t="e">
        <v>#NAME?</v>
      </c>
      <c r="O27" s="252" t="e">
        <v>#NAME?</v>
      </c>
      <c r="P27" s="252" t="e">
        <v>#NAME?</v>
      </c>
      <c r="Q27" s="252" t="e">
        <v>#NAME?</v>
      </c>
      <c r="R27" s="252" t="e">
        <v>#NAME?</v>
      </c>
      <c r="S27" s="252" t="e">
        <v>#NAME?</v>
      </c>
      <c r="T27" s="252" t="e">
        <v>#NAME?</v>
      </c>
    </row>
    <row r="28" spans="2:20">
      <c r="B28" s="243" t="s">
        <v>182</v>
      </c>
      <c r="C28" s="244" t="e">
        <v>#NAME?</v>
      </c>
      <c r="D28" s="121"/>
      <c r="E28" s="121" t="s">
        <v>183</v>
      </c>
      <c r="F28" s="263" t="s">
        <v>184</v>
      </c>
      <c r="G28" s="264" t="s">
        <v>56</v>
      </c>
      <c r="H28" s="254" t="s">
        <v>207</v>
      </c>
      <c r="I28" s="255" t="s">
        <v>207</v>
      </c>
      <c r="J28" s="255" t="s">
        <v>207</v>
      </c>
      <c r="K28" s="255" t="s">
        <v>207</v>
      </c>
      <c r="L28" s="255" t="s">
        <v>207</v>
      </c>
      <c r="M28" s="255" t="s">
        <v>207</v>
      </c>
      <c r="N28" s="255" t="s">
        <v>207</v>
      </c>
      <c r="O28" s="255" t="s">
        <v>207</v>
      </c>
      <c r="P28" s="255" t="s">
        <v>207</v>
      </c>
      <c r="Q28" s="255" t="s">
        <v>207</v>
      </c>
      <c r="R28" s="255" t="s">
        <v>207</v>
      </c>
      <c r="S28" s="255" t="s">
        <v>207</v>
      </c>
      <c r="T28" s="256" t="s">
        <v>207</v>
      </c>
    </row>
    <row r="29" spans="2:20">
      <c r="B29" s="245" t="s">
        <v>57</v>
      </c>
      <c r="C29" s="246" t="e">
        <v>#NAME?</v>
      </c>
      <c r="D29" s="121"/>
      <c r="E29" s="121"/>
      <c r="F29" s="265"/>
      <c r="G29" s="266" t="s">
        <v>57</v>
      </c>
      <c r="H29" s="257" t="s">
        <v>207</v>
      </c>
      <c r="I29" s="258" t="s">
        <v>207</v>
      </c>
      <c r="J29" s="258" t="s">
        <v>207</v>
      </c>
      <c r="K29" s="258" t="s">
        <v>207</v>
      </c>
      <c r="L29" s="258" t="s">
        <v>207</v>
      </c>
      <c r="M29" s="258" t="s">
        <v>207</v>
      </c>
      <c r="N29" s="258" t="s">
        <v>207</v>
      </c>
      <c r="O29" s="258" t="s">
        <v>207</v>
      </c>
      <c r="P29" s="258" t="s">
        <v>207</v>
      </c>
      <c r="Q29" s="258" t="s">
        <v>207</v>
      </c>
      <c r="R29" s="258" t="s">
        <v>207</v>
      </c>
      <c r="S29" s="258" t="s">
        <v>207</v>
      </c>
      <c r="T29" s="259" t="s">
        <v>207</v>
      </c>
    </row>
    <row r="30" spans="2:20">
      <c r="B30" s="247" t="s">
        <v>56</v>
      </c>
      <c r="C30" s="248" t="e">
        <v>#NAME?</v>
      </c>
      <c r="D30" s="121"/>
      <c r="E30" s="121" t="s">
        <v>185</v>
      </c>
      <c r="F30" s="265" t="s">
        <v>186</v>
      </c>
      <c r="G30" s="266" t="s">
        <v>56</v>
      </c>
      <c r="H30" s="257" t="s">
        <v>207</v>
      </c>
      <c r="I30" s="258" t="s">
        <v>207</v>
      </c>
      <c r="J30" s="258" t="s">
        <v>207</v>
      </c>
      <c r="K30" s="258" t="s">
        <v>207</v>
      </c>
      <c r="L30" s="258" t="s">
        <v>207</v>
      </c>
      <c r="M30" s="258" t="s">
        <v>207</v>
      </c>
      <c r="N30" s="258" t="s">
        <v>207</v>
      </c>
      <c r="O30" s="258" t="s">
        <v>207</v>
      </c>
      <c r="P30" s="258" t="s">
        <v>207</v>
      </c>
      <c r="Q30" s="258" t="s">
        <v>207</v>
      </c>
      <c r="R30" s="258" t="s">
        <v>207</v>
      </c>
      <c r="S30" s="258" t="s">
        <v>207</v>
      </c>
      <c r="T30" s="259" t="s">
        <v>207</v>
      </c>
    </row>
    <row r="31" spans="2:20" ht="13.5" thickBot="1">
      <c r="B31" s="249" t="s">
        <v>187</v>
      </c>
      <c r="C31" s="250" t="e">
        <v>#NAME?</v>
      </c>
      <c r="D31" s="121"/>
      <c r="E31" s="121"/>
      <c r="F31" s="267"/>
      <c r="G31" s="268" t="s">
        <v>57</v>
      </c>
      <c r="H31" s="260" t="s">
        <v>207</v>
      </c>
      <c r="I31" s="261" t="s">
        <v>207</v>
      </c>
      <c r="J31" s="261" t="s">
        <v>207</v>
      </c>
      <c r="K31" s="261" t="s">
        <v>207</v>
      </c>
      <c r="L31" s="261" t="s">
        <v>207</v>
      </c>
      <c r="M31" s="261" t="s">
        <v>207</v>
      </c>
      <c r="N31" s="261" t="s">
        <v>207</v>
      </c>
      <c r="O31" s="261" t="s">
        <v>207</v>
      </c>
      <c r="P31" s="261" t="s">
        <v>207</v>
      </c>
      <c r="Q31" s="261" t="s">
        <v>207</v>
      </c>
      <c r="R31" s="261" t="s">
        <v>207</v>
      </c>
      <c r="S31" s="261" t="s">
        <v>207</v>
      </c>
      <c r="T31" s="262" t="s">
        <v>207</v>
      </c>
    </row>
    <row r="32" spans="2:20" ht="13.5" thickBot="1">
      <c r="B32" s="121"/>
      <c r="C32" s="121"/>
      <c r="D32" s="121"/>
      <c r="E32" s="121"/>
      <c r="F32" s="121"/>
      <c r="G32" s="121"/>
      <c r="H32" s="121"/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  <c r="T32" s="121"/>
    </row>
    <row r="33" spans="2:20" ht="13.5" thickBot="1">
      <c r="B33" s="241" t="s">
        <v>181</v>
      </c>
      <c r="C33" s="242" t="s">
        <v>193</v>
      </c>
      <c r="D33" s="121"/>
      <c r="E33" s="121"/>
      <c r="F33" s="241" t="s">
        <v>208</v>
      </c>
      <c r="G33" s="121" t="s">
        <v>214</v>
      </c>
      <c r="H33" s="251" t="e">
        <v>#NAME?</v>
      </c>
      <c r="I33" s="252" t="e">
        <v>#NAME?</v>
      </c>
      <c r="J33" s="252" t="e">
        <v>#NAME?</v>
      </c>
      <c r="K33" s="252" t="e">
        <v>#NAME?</v>
      </c>
      <c r="L33" s="252" t="e">
        <v>#NAME?</v>
      </c>
      <c r="M33" s="252" t="e">
        <v>#NAME?</v>
      </c>
      <c r="N33" s="253" t="e">
        <v>#NAME?</v>
      </c>
      <c r="O33" s="252" t="e">
        <v>#NAME?</v>
      </c>
      <c r="P33" s="252" t="e">
        <v>#NAME?</v>
      </c>
      <c r="Q33" s="252" t="e">
        <v>#NAME?</v>
      </c>
      <c r="R33" s="252" t="e">
        <v>#NAME?</v>
      </c>
      <c r="S33" s="252" t="e">
        <v>#NAME?</v>
      </c>
      <c r="T33" s="252" t="e">
        <v>#NAME?</v>
      </c>
    </row>
    <row r="34" spans="2:20">
      <c r="B34" s="243" t="s">
        <v>182</v>
      </c>
      <c r="C34" s="244" t="e">
        <v>#NAME?</v>
      </c>
      <c r="D34" s="121"/>
      <c r="E34" s="121" t="s">
        <v>183</v>
      </c>
      <c r="F34" s="263" t="s">
        <v>184</v>
      </c>
      <c r="G34" s="264" t="s">
        <v>56</v>
      </c>
      <c r="H34" s="254" t="s">
        <v>207</v>
      </c>
      <c r="I34" s="255" t="s">
        <v>207</v>
      </c>
      <c r="J34" s="255" t="s">
        <v>207</v>
      </c>
      <c r="K34" s="255" t="s">
        <v>207</v>
      </c>
      <c r="L34" s="255" t="s">
        <v>207</v>
      </c>
      <c r="M34" s="255" t="s">
        <v>207</v>
      </c>
      <c r="N34" s="255" t="s">
        <v>207</v>
      </c>
      <c r="O34" s="255" t="s">
        <v>207</v>
      </c>
      <c r="P34" s="255" t="s">
        <v>207</v>
      </c>
      <c r="Q34" s="255" t="s">
        <v>207</v>
      </c>
      <c r="R34" s="255" t="s">
        <v>207</v>
      </c>
      <c r="S34" s="255" t="s">
        <v>207</v>
      </c>
      <c r="T34" s="256" t="s">
        <v>207</v>
      </c>
    </row>
    <row r="35" spans="2:20">
      <c r="B35" s="245" t="s">
        <v>57</v>
      </c>
      <c r="C35" s="246" t="e">
        <v>#NAME?</v>
      </c>
      <c r="D35" s="121"/>
      <c r="E35" s="121"/>
      <c r="F35" s="265"/>
      <c r="G35" s="266" t="s">
        <v>57</v>
      </c>
      <c r="H35" s="257" t="s">
        <v>207</v>
      </c>
      <c r="I35" s="258" t="s">
        <v>207</v>
      </c>
      <c r="J35" s="258" t="s">
        <v>207</v>
      </c>
      <c r="K35" s="258" t="s">
        <v>207</v>
      </c>
      <c r="L35" s="258" t="s">
        <v>207</v>
      </c>
      <c r="M35" s="258" t="s">
        <v>207</v>
      </c>
      <c r="N35" s="258" t="s">
        <v>207</v>
      </c>
      <c r="O35" s="258" t="s">
        <v>207</v>
      </c>
      <c r="P35" s="258" t="s">
        <v>207</v>
      </c>
      <c r="Q35" s="258" t="s">
        <v>207</v>
      </c>
      <c r="R35" s="258" t="s">
        <v>207</v>
      </c>
      <c r="S35" s="258" t="s">
        <v>207</v>
      </c>
      <c r="T35" s="259" t="s">
        <v>207</v>
      </c>
    </row>
    <row r="36" spans="2:20">
      <c r="B36" s="247" t="s">
        <v>56</v>
      </c>
      <c r="C36" s="248" t="e">
        <v>#NAME?</v>
      </c>
      <c r="D36" s="121"/>
      <c r="E36" s="121" t="s">
        <v>185</v>
      </c>
      <c r="F36" s="265" t="s">
        <v>186</v>
      </c>
      <c r="G36" s="266" t="s">
        <v>56</v>
      </c>
      <c r="H36" s="257" t="s">
        <v>207</v>
      </c>
      <c r="I36" s="258" t="s">
        <v>207</v>
      </c>
      <c r="J36" s="258" t="s">
        <v>207</v>
      </c>
      <c r="K36" s="258" t="s">
        <v>207</v>
      </c>
      <c r="L36" s="258" t="s">
        <v>207</v>
      </c>
      <c r="M36" s="258" t="s">
        <v>207</v>
      </c>
      <c r="N36" s="258" t="s">
        <v>207</v>
      </c>
      <c r="O36" s="258" t="s">
        <v>207</v>
      </c>
      <c r="P36" s="258" t="s">
        <v>207</v>
      </c>
      <c r="Q36" s="258" t="s">
        <v>207</v>
      </c>
      <c r="R36" s="258" t="s">
        <v>207</v>
      </c>
      <c r="S36" s="258" t="s">
        <v>207</v>
      </c>
      <c r="T36" s="259" t="s">
        <v>207</v>
      </c>
    </row>
    <row r="37" spans="2:20" ht="13.5" thickBot="1">
      <c r="B37" s="249" t="s">
        <v>187</v>
      </c>
      <c r="C37" s="250" t="e">
        <v>#NAME?</v>
      </c>
      <c r="D37" s="121"/>
      <c r="E37" s="121"/>
      <c r="F37" s="267"/>
      <c r="G37" s="268" t="s">
        <v>57</v>
      </c>
      <c r="H37" s="260" t="s">
        <v>207</v>
      </c>
      <c r="I37" s="261" t="s">
        <v>207</v>
      </c>
      <c r="J37" s="261" t="s">
        <v>207</v>
      </c>
      <c r="K37" s="261" t="s">
        <v>207</v>
      </c>
      <c r="L37" s="261" t="s">
        <v>207</v>
      </c>
      <c r="M37" s="261" t="s">
        <v>207</v>
      </c>
      <c r="N37" s="261" t="s">
        <v>207</v>
      </c>
      <c r="O37" s="261" t="s">
        <v>207</v>
      </c>
      <c r="P37" s="261" t="s">
        <v>207</v>
      </c>
      <c r="Q37" s="261" t="s">
        <v>207</v>
      </c>
      <c r="R37" s="261" t="s">
        <v>207</v>
      </c>
      <c r="S37" s="261" t="s">
        <v>207</v>
      </c>
      <c r="T37" s="262" t="s">
        <v>207</v>
      </c>
    </row>
    <row r="38" spans="2:20" ht="13.5" thickBot="1">
      <c r="B38" s="121"/>
      <c r="C38" s="121"/>
      <c r="D38" s="121"/>
      <c r="E38" s="121"/>
      <c r="F38" s="121"/>
      <c r="G38" s="121"/>
      <c r="H38" s="121"/>
      <c r="I38" s="121"/>
      <c r="J38" s="121"/>
      <c r="K38" s="121"/>
      <c r="L38" s="121"/>
      <c r="M38" s="121"/>
      <c r="N38" s="121"/>
      <c r="O38" s="121"/>
      <c r="P38" s="121"/>
      <c r="Q38" s="121"/>
      <c r="R38" s="121"/>
      <c r="S38" s="121"/>
      <c r="T38" s="121"/>
    </row>
    <row r="39" spans="2:20" ht="13.5" thickBot="1">
      <c r="B39" s="241" t="s">
        <v>181</v>
      </c>
      <c r="C39" s="242" t="s">
        <v>194</v>
      </c>
      <c r="D39" s="121"/>
      <c r="E39" s="121"/>
      <c r="F39" s="241" t="s">
        <v>208</v>
      </c>
      <c r="G39" s="121" t="s">
        <v>215</v>
      </c>
      <c r="H39" s="251" t="e">
        <v>#NAME?</v>
      </c>
      <c r="I39" s="252" t="e">
        <v>#NAME?</v>
      </c>
      <c r="J39" s="252" t="e">
        <v>#NAME?</v>
      </c>
      <c r="K39" s="252" t="e">
        <v>#NAME?</v>
      </c>
      <c r="L39" s="252" t="e">
        <v>#NAME?</v>
      </c>
      <c r="M39" s="252" t="e">
        <v>#NAME?</v>
      </c>
      <c r="N39" s="253" t="e">
        <v>#NAME?</v>
      </c>
      <c r="O39" s="252" t="e">
        <v>#NAME?</v>
      </c>
      <c r="P39" s="252" t="e">
        <v>#NAME?</v>
      </c>
      <c r="Q39" s="252" t="e">
        <v>#NAME?</v>
      </c>
      <c r="R39" s="252" t="e">
        <v>#NAME?</v>
      </c>
      <c r="S39" s="252" t="e">
        <v>#NAME?</v>
      </c>
      <c r="T39" s="252" t="e">
        <v>#NAME?</v>
      </c>
    </row>
    <row r="40" spans="2:20">
      <c r="B40" s="243" t="s">
        <v>182</v>
      </c>
      <c r="C40" s="244" t="e">
        <v>#NAME?</v>
      </c>
      <c r="D40" s="121"/>
      <c r="E40" s="121" t="s">
        <v>183</v>
      </c>
      <c r="F40" s="263" t="s">
        <v>184</v>
      </c>
      <c r="G40" s="264" t="s">
        <v>56</v>
      </c>
      <c r="H40" s="254" t="s">
        <v>207</v>
      </c>
      <c r="I40" s="255" t="s">
        <v>207</v>
      </c>
      <c r="J40" s="255" t="s">
        <v>207</v>
      </c>
      <c r="K40" s="255" t="s">
        <v>207</v>
      </c>
      <c r="L40" s="255" t="s">
        <v>207</v>
      </c>
      <c r="M40" s="255" t="s">
        <v>207</v>
      </c>
      <c r="N40" s="255" t="s">
        <v>207</v>
      </c>
      <c r="O40" s="255" t="s">
        <v>207</v>
      </c>
      <c r="P40" s="255" t="s">
        <v>207</v>
      </c>
      <c r="Q40" s="255" t="s">
        <v>207</v>
      </c>
      <c r="R40" s="255" t="s">
        <v>207</v>
      </c>
      <c r="S40" s="255" t="s">
        <v>207</v>
      </c>
      <c r="T40" s="256" t="s">
        <v>207</v>
      </c>
    </row>
    <row r="41" spans="2:20">
      <c r="B41" s="245" t="s">
        <v>57</v>
      </c>
      <c r="C41" s="246" t="e">
        <v>#NAME?</v>
      </c>
      <c r="D41" s="121"/>
      <c r="E41" s="121"/>
      <c r="F41" s="265"/>
      <c r="G41" s="266" t="s">
        <v>57</v>
      </c>
      <c r="H41" s="257" t="s">
        <v>207</v>
      </c>
      <c r="I41" s="258" t="s">
        <v>207</v>
      </c>
      <c r="J41" s="258" t="s">
        <v>207</v>
      </c>
      <c r="K41" s="258" t="s">
        <v>207</v>
      </c>
      <c r="L41" s="258" t="s">
        <v>207</v>
      </c>
      <c r="M41" s="258" t="s">
        <v>207</v>
      </c>
      <c r="N41" s="258" t="s">
        <v>207</v>
      </c>
      <c r="O41" s="258" t="s">
        <v>207</v>
      </c>
      <c r="P41" s="258" t="s">
        <v>207</v>
      </c>
      <c r="Q41" s="258" t="s">
        <v>207</v>
      </c>
      <c r="R41" s="258" t="s">
        <v>207</v>
      </c>
      <c r="S41" s="258" t="s">
        <v>207</v>
      </c>
      <c r="T41" s="259" t="s">
        <v>207</v>
      </c>
    </row>
    <row r="42" spans="2:20">
      <c r="B42" s="247" t="s">
        <v>56</v>
      </c>
      <c r="C42" s="248" t="e">
        <v>#NAME?</v>
      </c>
      <c r="D42" s="121"/>
      <c r="E42" s="121" t="s">
        <v>185</v>
      </c>
      <c r="F42" s="265" t="s">
        <v>186</v>
      </c>
      <c r="G42" s="266" t="s">
        <v>56</v>
      </c>
      <c r="H42" s="257" t="s">
        <v>207</v>
      </c>
      <c r="I42" s="258" t="s">
        <v>207</v>
      </c>
      <c r="J42" s="258" t="s">
        <v>207</v>
      </c>
      <c r="K42" s="258" t="s">
        <v>207</v>
      </c>
      <c r="L42" s="258" t="s">
        <v>207</v>
      </c>
      <c r="M42" s="258" t="s">
        <v>207</v>
      </c>
      <c r="N42" s="258" t="s">
        <v>207</v>
      </c>
      <c r="O42" s="258" t="s">
        <v>207</v>
      </c>
      <c r="P42" s="258" t="s">
        <v>207</v>
      </c>
      <c r="Q42" s="258" t="s">
        <v>207</v>
      </c>
      <c r="R42" s="258" t="s">
        <v>207</v>
      </c>
      <c r="S42" s="258" t="s">
        <v>207</v>
      </c>
      <c r="T42" s="259" t="s">
        <v>207</v>
      </c>
    </row>
    <row r="43" spans="2:20" ht="13.5" thickBot="1">
      <c r="B43" s="249" t="s">
        <v>187</v>
      </c>
      <c r="C43" s="250" t="e">
        <v>#NAME?</v>
      </c>
      <c r="D43" s="121"/>
      <c r="E43" s="121"/>
      <c r="F43" s="267"/>
      <c r="G43" s="268" t="s">
        <v>57</v>
      </c>
      <c r="H43" s="260" t="s">
        <v>207</v>
      </c>
      <c r="I43" s="261" t="s">
        <v>207</v>
      </c>
      <c r="J43" s="261" t="s">
        <v>207</v>
      </c>
      <c r="K43" s="261" t="s">
        <v>207</v>
      </c>
      <c r="L43" s="261" t="s">
        <v>207</v>
      </c>
      <c r="M43" s="261" t="s">
        <v>207</v>
      </c>
      <c r="N43" s="261" t="s">
        <v>207</v>
      </c>
      <c r="O43" s="261" t="s">
        <v>207</v>
      </c>
      <c r="P43" s="261" t="s">
        <v>207</v>
      </c>
      <c r="Q43" s="261" t="s">
        <v>207</v>
      </c>
      <c r="R43" s="261" t="s">
        <v>207</v>
      </c>
      <c r="S43" s="261" t="s">
        <v>207</v>
      </c>
      <c r="T43" s="262" t="s">
        <v>207</v>
      </c>
    </row>
    <row r="44" spans="2:20" ht="13.5" thickBot="1"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</row>
    <row r="45" spans="2:20" ht="13.5" thickBot="1">
      <c r="B45" s="241" t="s">
        <v>181</v>
      </c>
      <c r="C45" s="242" t="s">
        <v>205</v>
      </c>
      <c r="D45" s="121"/>
      <c r="E45" s="121"/>
      <c r="F45" s="241" t="s">
        <v>208</v>
      </c>
      <c r="G45" s="121" t="s">
        <v>216</v>
      </c>
      <c r="H45" s="251" t="e">
        <v>#NAME?</v>
      </c>
      <c r="I45" s="252" t="e">
        <v>#NAME?</v>
      </c>
      <c r="J45" s="252" t="e">
        <v>#NAME?</v>
      </c>
      <c r="K45" s="252" t="e">
        <v>#NAME?</v>
      </c>
      <c r="L45" s="252" t="e">
        <v>#NAME?</v>
      </c>
      <c r="M45" s="252" t="e">
        <v>#NAME?</v>
      </c>
      <c r="N45" s="253" t="e">
        <v>#NAME?</v>
      </c>
      <c r="O45" s="252" t="e">
        <v>#NAME?</v>
      </c>
      <c r="P45" s="252" t="e">
        <v>#NAME?</v>
      </c>
      <c r="Q45" s="252" t="e">
        <v>#NAME?</v>
      </c>
      <c r="R45" s="252" t="e">
        <v>#NAME?</v>
      </c>
      <c r="S45" s="252" t="e">
        <v>#NAME?</v>
      </c>
      <c r="T45" s="252" t="e">
        <v>#NAME?</v>
      </c>
    </row>
    <row r="46" spans="2:20">
      <c r="B46" s="243" t="s">
        <v>182</v>
      </c>
      <c r="C46" s="244" t="e">
        <v>#NAME?</v>
      </c>
      <c r="D46" s="121"/>
      <c r="E46" s="121" t="s">
        <v>183</v>
      </c>
      <c r="F46" s="263" t="s">
        <v>184</v>
      </c>
      <c r="G46" s="264" t="s">
        <v>56</v>
      </c>
      <c r="H46" s="254" t="s">
        <v>207</v>
      </c>
      <c r="I46" s="255" t="s">
        <v>207</v>
      </c>
      <c r="J46" s="255" t="s">
        <v>207</v>
      </c>
      <c r="K46" s="255" t="s">
        <v>207</v>
      </c>
      <c r="L46" s="255" t="s">
        <v>207</v>
      </c>
      <c r="M46" s="255" t="s">
        <v>207</v>
      </c>
      <c r="N46" s="255" t="s">
        <v>207</v>
      </c>
      <c r="O46" s="255" t="s">
        <v>207</v>
      </c>
      <c r="P46" s="255" t="s">
        <v>207</v>
      </c>
      <c r="Q46" s="255" t="s">
        <v>207</v>
      </c>
      <c r="R46" s="255" t="s">
        <v>207</v>
      </c>
      <c r="S46" s="255" t="s">
        <v>207</v>
      </c>
      <c r="T46" s="256" t="s">
        <v>207</v>
      </c>
    </row>
    <row r="47" spans="2:20">
      <c r="B47" s="245" t="s">
        <v>57</v>
      </c>
      <c r="C47" s="246" t="e">
        <v>#NAME?</v>
      </c>
      <c r="D47" s="121"/>
      <c r="E47" s="121"/>
      <c r="F47" s="265"/>
      <c r="G47" s="266" t="s">
        <v>57</v>
      </c>
      <c r="H47" s="257" t="s">
        <v>207</v>
      </c>
      <c r="I47" s="258" t="s">
        <v>207</v>
      </c>
      <c r="J47" s="258" t="s">
        <v>207</v>
      </c>
      <c r="K47" s="258" t="s">
        <v>207</v>
      </c>
      <c r="L47" s="258" t="s">
        <v>207</v>
      </c>
      <c r="M47" s="258" t="s">
        <v>207</v>
      </c>
      <c r="N47" s="258" t="s">
        <v>207</v>
      </c>
      <c r="O47" s="258" t="s">
        <v>207</v>
      </c>
      <c r="P47" s="258" t="s">
        <v>207</v>
      </c>
      <c r="Q47" s="258" t="s">
        <v>207</v>
      </c>
      <c r="R47" s="258" t="s">
        <v>207</v>
      </c>
      <c r="S47" s="258" t="s">
        <v>207</v>
      </c>
      <c r="T47" s="259" t="s">
        <v>207</v>
      </c>
    </row>
    <row r="48" spans="2:20">
      <c r="B48" s="247" t="s">
        <v>56</v>
      </c>
      <c r="C48" s="248" t="e">
        <v>#NAME?</v>
      </c>
      <c r="D48" s="121"/>
      <c r="E48" s="121" t="s">
        <v>185</v>
      </c>
      <c r="F48" s="265" t="s">
        <v>186</v>
      </c>
      <c r="G48" s="266" t="s">
        <v>56</v>
      </c>
      <c r="H48" s="257" t="s">
        <v>207</v>
      </c>
      <c r="I48" s="258" t="s">
        <v>207</v>
      </c>
      <c r="J48" s="258" t="s">
        <v>207</v>
      </c>
      <c r="K48" s="258" t="s">
        <v>207</v>
      </c>
      <c r="L48" s="258" t="s">
        <v>207</v>
      </c>
      <c r="M48" s="258" t="s">
        <v>207</v>
      </c>
      <c r="N48" s="258" t="s">
        <v>207</v>
      </c>
      <c r="O48" s="258" t="s">
        <v>207</v>
      </c>
      <c r="P48" s="258" t="s">
        <v>207</v>
      </c>
      <c r="Q48" s="258" t="s">
        <v>207</v>
      </c>
      <c r="R48" s="258" t="s">
        <v>207</v>
      </c>
      <c r="S48" s="258" t="s">
        <v>207</v>
      </c>
      <c r="T48" s="259" t="s">
        <v>207</v>
      </c>
    </row>
    <row r="49" spans="2:20" ht="13.5" thickBot="1">
      <c r="B49" s="249" t="s">
        <v>187</v>
      </c>
      <c r="C49" s="250" t="e">
        <v>#NAME?</v>
      </c>
      <c r="D49" s="121"/>
      <c r="E49" s="121"/>
      <c r="F49" s="267"/>
      <c r="G49" s="268" t="s">
        <v>57</v>
      </c>
      <c r="H49" s="260" t="s">
        <v>207</v>
      </c>
      <c r="I49" s="261" t="s">
        <v>207</v>
      </c>
      <c r="J49" s="261" t="s">
        <v>207</v>
      </c>
      <c r="K49" s="261" t="s">
        <v>207</v>
      </c>
      <c r="L49" s="261" t="s">
        <v>207</v>
      </c>
      <c r="M49" s="261" t="s">
        <v>207</v>
      </c>
      <c r="N49" s="261" t="s">
        <v>207</v>
      </c>
      <c r="O49" s="261" t="s">
        <v>207</v>
      </c>
      <c r="P49" s="261" t="s">
        <v>207</v>
      </c>
      <c r="Q49" s="261" t="s">
        <v>207</v>
      </c>
      <c r="R49" s="261" t="s">
        <v>207</v>
      </c>
      <c r="S49" s="261" t="s">
        <v>207</v>
      </c>
      <c r="T49" s="262" t="s">
        <v>207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28</vt:i4>
      </vt:variant>
    </vt:vector>
  </HeadingPairs>
  <TitlesOfParts>
    <vt:vector size="37" baseType="lpstr">
      <vt:lpstr>EUR OIS</vt:lpstr>
      <vt:lpstr>EUR 3M</vt:lpstr>
      <vt:lpstr>EUR 6M</vt:lpstr>
      <vt:lpstr>EUR STIR</vt:lpstr>
      <vt:lpstr>USD OIS</vt:lpstr>
      <vt:lpstr>USD 3M</vt:lpstr>
      <vt:lpstr>USD 6M</vt:lpstr>
      <vt:lpstr>USD STIR</vt:lpstr>
      <vt:lpstr>EUR_STIR_FREEZED</vt:lpstr>
      <vt:lpstr>'USD OIS'!Contributori_EONIA</vt:lpstr>
      <vt:lpstr>Contributori_EONIA</vt:lpstr>
      <vt:lpstr>EUR_STIR</vt:lpstr>
      <vt:lpstr>EUR_STIR_FREEZED</vt:lpstr>
      <vt:lpstr>'EUR 3M'!futures_code</vt:lpstr>
      <vt:lpstr>'EUR 6M'!futures_code</vt:lpstr>
      <vt:lpstr>'EUR OIS'!futures_code</vt:lpstr>
      <vt:lpstr>'EUR STIR'!futures_code</vt:lpstr>
      <vt:lpstr>'USD 3M'!futures_code</vt:lpstr>
      <vt:lpstr>'USD 6M'!futures_code</vt:lpstr>
      <vt:lpstr>'USD OIS'!futures_code</vt:lpstr>
      <vt:lpstr>'USD STIR'!futures_code</vt:lpstr>
      <vt:lpstr>'EUR 3M'!today</vt:lpstr>
      <vt:lpstr>'EUR 6M'!today</vt:lpstr>
      <vt:lpstr>'EUR OIS'!today</vt:lpstr>
      <vt:lpstr>'EUR STIR'!today</vt:lpstr>
      <vt:lpstr>'USD 3M'!today</vt:lpstr>
      <vt:lpstr>'USD 6M'!today</vt:lpstr>
      <vt:lpstr>'USD OIS'!today</vt:lpstr>
      <vt:lpstr>'USD STIR'!today</vt:lpstr>
      <vt:lpstr>'EUR 3M'!tplusdate</vt:lpstr>
      <vt:lpstr>'EUR 6M'!tplusdate</vt:lpstr>
      <vt:lpstr>'EUR OIS'!tplusdate</vt:lpstr>
      <vt:lpstr>'EUR STIR'!tplusdate</vt:lpstr>
      <vt:lpstr>'USD 3M'!tplusdate</vt:lpstr>
      <vt:lpstr>'USD 6M'!tplusdate</vt:lpstr>
      <vt:lpstr>'USD OIS'!tplusdate</vt:lpstr>
      <vt:lpstr>'USD STIR'!tplusdate</vt:lpstr>
    </vt:vector>
  </TitlesOfParts>
  <Company>Bloomberg LP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jmitravaldes</dc:creator>
  <cp:lastModifiedBy>Mediobanca User</cp:lastModifiedBy>
  <cp:lastPrinted>2010-07-29T09:22:07Z</cp:lastPrinted>
  <dcterms:created xsi:type="dcterms:W3CDTF">2009-10-19T12:56:54Z</dcterms:created>
  <dcterms:modified xsi:type="dcterms:W3CDTF">2014-11-29T12:25:20Z</dcterms:modified>
</cp:coreProperties>
</file>